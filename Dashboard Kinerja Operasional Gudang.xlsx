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13_ncr:1_{FB93F570-5B2A-4DB9-8DBD-342FFF940E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rehouse_Transactions" sheetId="1" r:id="rId1"/>
    <sheet name="Analysis_Data" sheetId="2" r:id="rId2"/>
    <sheet name="Pivot_Analysis" sheetId="3" r:id="rId3"/>
    <sheet name="Dashboard" sheetId="4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6" i="4" l="1" a="1"/>
  <c r="AL6" i="4" s="1"/>
  <c r="AK6" i="4" a="1"/>
  <c r="AK6" i="4" s="1"/>
  <c r="AI6" i="4" a="1"/>
  <c r="AI6" i="4" s="1"/>
  <c r="AH6" i="4" a="1"/>
  <c r="AH6" i="4" s="1"/>
  <c r="AF6" i="4" a="1"/>
  <c r="AF6" i="4" s="1"/>
  <c r="AE6" i="4" a="1"/>
  <c r="AE6" i="4" s="1"/>
  <c r="AC6" i="4" a="1"/>
  <c r="AC6" i="4" s="1"/>
  <c r="AB6" i="4" a="1"/>
  <c r="AB6" i="4" s="1"/>
  <c r="AA6" i="4" a="1"/>
  <c r="AA6" i="4" s="1"/>
  <c r="Y6" i="4" a="1"/>
  <c r="Y6" i="4" s="1"/>
  <c r="W6" i="4" a="1"/>
  <c r="W6" i="4" s="1"/>
  <c r="U6" i="4" a="1"/>
  <c r="U6" i="4" s="1"/>
  <c r="T6" i="4" a="1"/>
  <c r="T6" i="4" s="1"/>
  <c r="Q4" i="3" a="1"/>
  <c r="Q4" i="3" s="1"/>
  <c r="I14" i="4"/>
  <c r="E14" i="4"/>
  <c r="A14" i="4"/>
  <c r="I10" i="4"/>
  <c r="E10" i="4"/>
  <c r="A10" i="4"/>
  <c r="I6" i="4"/>
  <c r="E6" i="4"/>
  <c r="A6" i="4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Y4" i="2"/>
  <c r="Y5" i="2"/>
  <c r="Y14" i="2"/>
  <c r="Y15" i="2"/>
  <c r="Y17" i="2"/>
  <c r="Y20" i="2"/>
  <c r="Y21" i="2"/>
  <c r="Y22" i="2"/>
  <c r="Y23" i="2"/>
  <c r="Y27" i="2"/>
  <c r="Y28" i="2"/>
  <c r="Y29" i="2"/>
  <c r="Y30" i="2"/>
  <c r="Y31" i="2"/>
  <c r="Y32" i="2"/>
  <c r="Y33" i="2"/>
  <c r="Y37" i="2"/>
  <c r="Y41" i="2"/>
  <c r="Y43" i="2"/>
  <c r="Y44" i="2"/>
  <c r="Y45" i="2"/>
  <c r="Y46" i="2"/>
  <c r="Y47" i="2"/>
  <c r="Y50" i="2"/>
  <c r="Y52" i="2"/>
  <c r="Y53" i="2"/>
  <c r="Y54" i="2"/>
  <c r="Y58" i="2"/>
  <c r="Y60" i="2"/>
  <c r="Y61" i="2"/>
  <c r="Y62" i="2"/>
  <c r="Y63" i="2"/>
  <c r="Y66" i="2"/>
  <c r="Y68" i="2"/>
  <c r="Y71" i="2"/>
  <c r="Y73" i="2"/>
  <c r="Y74" i="2"/>
  <c r="Y75" i="2"/>
  <c r="Y76" i="2"/>
  <c r="Y77" i="2"/>
  <c r="Y79" i="2"/>
  <c r="Y80" i="2"/>
  <c r="Y81" i="2"/>
  <c r="Y82" i="2"/>
  <c r="Y84" i="2"/>
  <c r="Y85" i="2"/>
  <c r="Y86" i="2"/>
  <c r="Y88" i="2"/>
  <c r="Y89" i="2"/>
  <c r="Y91" i="2"/>
  <c r="Y92" i="2"/>
  <c r="Y93" i="2"/>
  <c r="Y95" i="2"/>
  <c r="Y96" i="2"/>
  <c r="Y99" i="2"/>
  <c r="Y100" i="2"/>
  <c r="Y10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U5" i="2"/>
  <c r="U15" i="2"/>
  <c r="U16" i="2"/>
  <c r="U17" i="2"/>
  <c r="U18" i="2"/>
  <c r="U31" i="2"/>
  <c r="U32" i="2"/>
  <c r="U33" i="2"/>
  <c r="U34" i="2"/>
  <c r="U47" i="2"/>
  <c r="U48" i="2"/>
  <c r="U49" i="2"/>
  <c r="U50" i="2"/>
  <c r="U63" i="2"/>
  <c r="U64" i="2"/>
  <c r="U65" i="2"/>
  <c r="U66" i="2"/>
  <c r="U79" i="2"/>
  <c r="U80" i="2"/>
  <c r="U81" i="2"/>
  <c r="U82" i="2"/>
  <c r="U95" i="2"/>
  <c r="U96" i="2"/>
  <c r="U97" i="2"/>
  <c r="U98" i="2"/>
  <c r="U2" i="2"/>
  <c r="U3" i="2"/>
  <c r="U4" i="2"/>
  <c r="U6" i="2"/>
  <c r="U7" i="2"/>
  <c r="U8" i="2"/>
  <c r="U9" i="2"/>
  <c r="U10" i="2"/>
  <c r="U11" i="2"/>
  <c r="U12" i="2"/>
  <c r="U13" i="2"/>
  <c r="U14" i="2"/>
  <c r="U19" i="2"/>
  <c r="U20" i="2"/>
  <c r="U21" i="2"/>
  <c r="U22" i="2"/>
  <c r="U23" i="2"/>
  <c r="U24" i="2"/>
  <c r="U25" i="2"/>
  <c r="U26" i="2"/>
  <c r="U27" i="2"/>
  <c r="U28" i="2"/>
  <c r="U29" i="2"/>
  <c r="U30" i="2"/>
  <c r="U35" i="2"/>
  <c r="U36" i="2"/>
  <c r="U37" i="2"/>
  <c r="U38" i="2"/>
  <c r="U39" i="2"/>
  <c r="U40" i="2"/>
  <c r="U41" i="2"/>
  <c r="U42" i="2"/>
  <c r="U43" i="2"/>
  <c r="U44" i="2"/>
  <c r="U45" i="2"/>
  <c r="U46" i="2"/>
  <c r="U51" i="2"/>
  <c r="U52" i="2"/>
  <c r="U53" i="2"/>
  <c r="U54" i="2"/>
  <c r="U55" i="2"/>
  <c r="U56" i="2"/>
  <c r="U57" i="2"/>
  <c r="U58" i="2"/>
  <c r="U59" i="2"/>
  <c r="U60" i="2"/>
  <c r="U61" i="2"/>
  <c r="U62" i="2"/>
  <c r="U67" i="2"/>
  <c r="U68" i="2"/>
  <c r="U69" i="2"/>
  <c r="U70" i="2"/>
  <c r="U71" i="2"/>
  <c r="U72" i="2"/>
  <c r="U73" i="2"/>
  <c r="U74" i="2"/>
  <c r="U75" i="2"/>
  <c r="U76" i="2"/>
  <c r="U77" i="2"/>
  <c r="U78" i="2"/>
  <c r="U83" i="2"/>
  <c r="U84" i="2"/>
  <c r="U85" i="2"/>
  <c r="U86" i="2"/>
  <c r="U87" i="2"/>
  <c r="U88" i="2"/>
  <c r="U89" i="2"/>
  <c r="U90" i="2"/>
  <c r="U91" i="2"/>
  <c r="U92" i="2"/>
  <c r="U93" i="2"/>
  <c r="U94" i="2"/>
  <c r="U99" i="2"/>
  <c r="U100" i="2"/>
  <c r="U10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O2" i="2"/>
  <c r="Y2" i="2" s="1"/>
  <c r="O3" i="2"/>
  <c r="Y3" i="2" s="1"/>
  <c r="O4" i="2"/>
  <c r="O5" i="2"/>
  <c r="O6" i="2"/>
  <c r="Y6" i="2" s="1"/>
  <c r="O7" i="2"/>
  <c r="Y7" i="2" s="1"/>
  <c r="O8" i="2"/>
  <c r="Y8" i="2" s="1"/>
  <c r="O9" i="2"/>
  <c r="Y9" i="2" s="1"/>
  <c r="O10" i="2"/>
  <c r="Y10" i="2" s="1"/>
  <c r="O11" i="2"/>
  <c r="Y11" i="2" s="1"/>
  <c r="O12" i="2"/>
  <c r="Y12" i="2" s="1"/>
  <c r="O13" i="2"/>
  <c r="Y13" i="2" s="1"/>
  <c r="O14" i="2"/>
  <c r="O15" i="2"/>
  <c r="O16" i="2"/>
  <c r="Y16" i="2" s="1"/>
  <c r="O17" i="2"/>
  <c r="O18" i="2"/>
  <c r="Y18" i="2" s="1"/>
  <c r="O19" i="2"/>
  <c r="Y19" i="2" s="1"/>
  <c r="O20" i="2"/>
  <c r="O21" i="2"/>
  <c r="O22" i="2"/>
  <c r="O23" i="2"/>
  <c r="O24" i="2"/>
  <c r="Y24" i="2" s="1"/>
  <c r="O25" i="2"/>
  <c r="Y25" i="2" s="1"/>
  <c r="O26" i="2"/>
  <c r="Y26" i="2" s="1"/>
  <c r="O27" i="2"/>
  <c r="O28" i="2"/>
  <c r="O29" i="2"/>
  <c r="O30" i="2"/>
  <c r="O31" i="2"/>
  <c r="O32" i="2"/>
  <c r="O33" i="2"/>
  <c r="O34" i="2"/>
  <c r="Y34" i="2" s="1"/>
  <c r="O35" i="2"/>
  <c r="Y35" i="2" s="1"/>
  <c r="O36" i="2"/>
  <c r="Y36" i="2" s="1"/>
  <c r="O37" i="2"/>
  <c r="O38" i="2"/>
  <c r="Y38" i="2" s="1"/>
  <c r="O39" i="2"/>
  <c r="Y39" i="2" s="1"/>
  <c r="O40" i="2"/>
  <c r="Y40" i="2" s="1"/>
  <c r="O41" i="2"/>
  <c r="O42" i="2"/>
  <c r="Y42" i="2" s="1"/>
  <c r="O43" i="2"/>
  <c r="O44" i="2"/>
  <c r="O45" i="2"/>
  <c r="O46" i="2"/>
  <c r="O47" i="2"/>
  <c r="O48" i="2"/>
  <c r="Y48" i="2" s="1"/>
  <c r="O49" i="2"/>
  <c r="Y49" i="2" s="1"/>
  <c r="O50" i="2"/>
  <c r="O51" i="2"/>
  <c r="Y51" i="2" s="1"/>
  <c r="O52" i="2"/>
  <c r="O53" i="2"/>
  <c r="O54" i="2"/>
  <c r="O55" i="2"/>
  <c r="Y55" i="2" s="1"/>
  <c r="O56" i="2"/>
  <c r="Y56" i="2" s="1"/>
  <c r="O57" i="2"/>
  <c r="Y57" i="2" s="1"/>
  <c r="O58" i="2"/>
  <c r="O59" i="2"/>
  <c r="Y59" i="2" s="1"/>
  <c r="O60" i="2"/>
  <c r="O61" i="2"/>
  <c r="O62" i="2"/>
  <c r="O63" i="2"/>
  <c r="O64" i="2"/>
  <c r="Y64" i="2" s="1"/>
  <c r="O65" i="2"/>
  <c r="Y65" i="2" s="1"/>
  <c r="O66" i="2"/>
  <c r="O67" i="2"/>
  <c r="Y67" i="2" s="1"/>
  <c r="O68" i="2"/>
  <c r="O69" i="2"/>
  <c r="Y69" i="2" s="1"/>
  <c r="O70" i="2"/>
  <c r="Y70" i="2" s="1"/>
  <c r="O71" i="2"/>
  <c r="O72" i="2"/>
  <c r="Y72" i="2" s="1"/>
  <c r="O73" i="2"/>
  <c r="O74" i="2"/>
  <c r="O75" i="2"/>
  <c r="O76" i="2"/>
  <c r="O77" i="2"/>
  <c r="O78" i="2"/>
  <c r="Y78" i="2" s="1"/>
  <c r="O79" i="2"/>
  <c r="O80" i="2"/>
  <c r="O81" i="2"/>
  <c r="O82" i="2"/>
  <c r="O83" i="2"/>
  <c r="Y83" i="2" s="1"/>
  <c r="O84" i="2"/>
  <c r="O85" i="2"/>
  <c r="O86" i="2"/>
  <c r="O87" i="2"/>
  <c r="Y87" i="2" s="1"/>
  <c r="O88" i="2"/>
  <c r="O89" i="2"/>
  <c r="O90" i="2"/>
  <c r="Y90" i="2" s="1"/>
  <c r="O91" i="2"/>
  <c r="O92" i="2"/>
  <c r="O93" i="2"/>
  <c r="O94" i="2"/>
  <c r="Y94" i="2" s="1"/>
  <c r="O95" i="2"/>
  <c r="O96" i="2"/>
  <c r="O97" i="2"/>
  <c r="Y97" i="2" s="1"/>
  <c r="O98" i="2"/>
  <c r="Y98" i="2" s="1"/>
  <c r="O99" i="2"/>
  <c r="O100" i="2"/>
  <c r="O1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<sst xmlns="http://schemas.openxmlformats.org/spreadsheetml/2006/main" count="1766" uniqueCount="239">
  <si>
    <t>Transaction_ID</t>
  </si>
  <si>
    <t>Date</t>
  </si>
  <si>
    <t>Product_ID</t>
  </si>
  <si>
    <t>Product_Name</t>
  </si>
  <si>
    <t>Category</t>
  </si>
  <si>
    <t>Transaction_Type</t>
  </si>
  <si>
    <t>Quantity</t>
  </si>
  <si>
    <t>Supplier</t>
  </si>
  <si>
    <t>Warehouse_Location</t>
  </si>
  <si>
    <t>Unit_Cost</t>
  </si>
  <si>
    <t>Damaged_Qty</t>
  </si>
  <si>
    <t>Processing_Time_Hours</t>
  </si>
  <si>
    <t>Status</t>
  </si>
  <si>
    <t>TRX001</t>
  </si>
  <si>
    <t>PRD013</t>
  </si>
  <si>
    <t>Pulpen Gel Hitam</t>
  </si>
  <si>
    <t>Alat Tulis</t>
  </si>
  <si>
    <t>Inbound</t>
  </si>
  <si>
    <t>CV Prima Office</t>
  </si>
  <si>
    <t>Rack D1</t>
  </si>
  <si>
    <t>Completed</t>
  </si>
  <si>
    <t>TRX002</t>
  </si>
  <si>
    <t>PRD003</t>
  </si>
  <si>
    <t>Teh Celup 25 Sachet</t>
  </si>
  <si>
    <t>Minuman</t>
  </si>
  <si>
    <t>PT Sumber Segar</t>
  </si>
  <si>
    <t>Rack A2</t>
  </si>
  <si>
    <t>TRX003</t>
  </si>
  <si>
    <t>PRD017</t>
  </si>
  <si>
    <t>Kabel Ekstensi 3 Meter</t>
  </si>
  <si>
    <t>Elektronik</t>
  </si>
  <si>
    <t>Outbound</t>
  </si>
  <si>
    <t>PT Cahaya Elektrik</t>
  </si>
  <si>
    <t>TRX004</t>
  </si>
  <si>
    <t>PRD010</t>
  </si>
  <si>
    <t>Pembersih Lantai 800 ml</t>
  </si>
  <si>
    <t>Kebersihan</t>
  </si>
  <si>
    <t>PT Bersih Sentosa</t>
  </si>
  <si>
    <t>Rack C2</t>
  </si>
  <si>
    <t>Delayed</t>
  </si>
  <si>
    <t>TRX005</t>
  </si>
  <si>
    <t>PRD012</t>
  </si>
  <si>
    <t>Kertas A4 80 gsm</t>
  </si>
  <si>
    <t>Pending</t>
  </si>
  <si>
    <t>TRX006</t>
  </si>
  <si>
    <t>PRD007</t>
  </si>
  <si>
    <t>Minyak Goreng 1 L</t>
  </si>
  <si>
    <t>Makanan</t>
  </si>
  <si>
    <t>CV Pangan Makmur</t>
  </si>
  <si>
    <t>Rack B2</t>
  </si>
  <si>
    <t>TRX007</t>
  </si>
  <si>
    <t>TRX008</t>
  </si>
  <si>
    <t>TRX009</t>
  </si>
  <si>
    <t>TRX010</t>
  </si>
  <si>
    <t>TRX011</t>
  </si>
  <si>
    <t>TRX012</t>
  </si>
  <si>
    <t>PRD001</t>
  </si>
  <si>
    <t>Air Mineral 600 ml</t>
  </si>
  <si>
    <t>Rack A1</t>
  </si>
  <si>
    <t>TRX013</t>
  </si>
  <si>
    <t>TRX014</t>
  </si>
  <si>
    <t>PRD009</t>
  </si>
  <si>
    <t>Deterjen Bubuk 800 g</t>
  </si>
  <si>
    <t>Rack C1</t>
  </si>
  <si>
    <t>TRX015</t>
  </si>
  <si>
    <t>PRD015</t>
  </si>
  <si>
    <t>Lakban Bening 48 mm</t>
  </si>
  <si>
    <t>Rack D2</t>
  </si>
  <si>
    <t>TRX016</t>
  </si>
  <si>
    <t>PRD014</t>
  </si>
  <si>
    <t>Buku Tulis A5</t>
  </si>
  <si>
    <t>TRX017</t>
  </si>
  <si>
    <t>PRD005</t>
  </si>
  <si>
    <t>Mi Instan Goreng</t>
  </si>
  <si>
    <t>Rack B1</t>
  </si>
  <si>
    <t>TRX018</t>
  </si>
  <si>
    <t>TRX019</t>
  </si>
  <si>
    <t>PRD016</t>
  </si>
  <si>
    <t>Lampu LED 12 Watt</t>
  </si>
  <si>
    <t>TRX020</t>
  </si>
  <si>
    <t>TRX021</t>
  </si>
  <si>
    <t>TRX022</t>
  </si>
  <si>
    <t>TRX023</t>
  </si>
  <si>
    <t>TRX024</t>
  </si>
  <si>
    <t>TRX025</t>
  </si>
  <si>
    <t>TRX026</t>
  </si>
  <si>
    <t>TRX027</t>
  </si>
  <si>
    <t>TRX028</t>
  </si>
  <si>
    <t>TRX029</t>
  </si>
  <si>
    <t>TRX030</t>
  </si>
  <si>
    <t>TRX031</t>
  </si>
  <si>
    <t>TRX032</t>
  </si>
  <si>
    <t>TRX033</t>
  </si>
  <si>
    <t>PRD006</t>
  </si>
  <si>
    <t>Sarden Kaleng 155 g</t>
  </si>
  <si>
    <t>TRX034</t>
  </si>
  <si>
    <t>TRX035</t>
  </si>
  <si>
    <t>TRX036</t>
  </si>
  <si>
    <t>TRX037</t>
  </si>
  <si>
    <t>TRX038</t>
  </si>
  <si>
    <t>PRD018</t>
  </si>
  <si>
    <t>Baterai AA Isi 4</t>
  </si>
  <si>
    <t>TRX039</t>
  </si>
  <si>
    <t>TRX040</t>
  </si>
  <si>
    <t>TRX041</t>
  </si>
  <si>
    <t>TRX042</t>
  </si>
  <si>
    <t>TRX043</t>
  </si>
  <si>
    <t>TRX044</t>
  </si>
  <si>
    <t>PRD011</t>
  </si>
  <si>
    <t>Tisu Gulung 10 Roll</t>
  </si>
  <si>
    <t>TRX045</t>
  </si>
  <si>
    <t>TRX046</t>
  </si>
  <si>
    <t>TRX047</t>
  </si>
  <si>
    <t>TRX048</t>
  </si>
  <si>
    <t>TRX049</t>
  </si>
  <si>
    <t>PRD008</t>
  </si>
  <si>
    <t>Sabun Cuci Piring 750 ml</t>
  </si>
  <si>
    <t>TRX050</t>
  </si>
  <si>
    <t>TRX051</t>
  </si>
  <si>
    <t>TRX052</t>
  </si>
  <si>
    <t>TRX053</t>
  </si>
  <si>
    <t>PRD002</t>
  </si>
  <si>
    <t>Kopi Instan Sachet</t>
  </si>
  <si>
    <t>TRX054</t>
  </si>
  <si>
    <t>TRX055</t>
  </si>
  <si>
    <t>TRX056</t>
  </si>
  <si>
    <t>TRX057</t>
  </si>
  <si>
    <t>TRX058</t>
  </si>
  <si>
    <t>TRX059</t>
  </si>
  <si>
    <t>TRX060</t>
  </si>
  <si>
    <t>TRX061</t>
  </si>
  <si>
    <t>TRX062</t>
  </si>
  <si>
    <t>TRX063</t>
  </si>
  <si>
    <t>TRX064</t>
  </si>
  <si>
    <t>TRX065</t>
  </si>
  <si>
    <t>TRX066</t>
  </si>
  <si>
    <t>TRX067</t>
  </si>
  <si>
    <t>TRX068</t>
  </si>
  <si>
    <t>TRX069</t>
  </si>
  <si>
    <t>TRX070</t>
  </si>
  <si>
    <t>TRX071</t>
  </si>
  <si>
    <t>PRD004</t>
  </si>
  <si>
    <t>Biskuit Cokelat 200 g</t>
  </si>
  <si>
    <t>TRX072</t>
  </si>
  <si>
    <t>TRX073</t>
  </si>
  <si>
    <t>TRX074</t>
  </si>
  <si>
    <t>TRX075</t>
  </si>
  <si>
    <t>TRX076</t>
  </si>
  <si>
    <t>TRX077</t>
  </si>
  <si>
    <t>TRX078</t>
  </si>
  <si>
    <t>TRX079</t>
  </si>
  <si>
    <t>TRX080</t>
  </si>
  <si>
    <t>TRX081</t>
  </si>
  <si>
    <t>TRX082</t>
  </si>
  <si>
    <t>TRX083</t>
  </si>
  <si>
    <t>TRX084</t>
  </si>
  <si>
    <t>TRX085</t>
  </si>
  <si>
    <t>TRX086</t>
  </si>
  <si>
    <t>TRX087</t>
  </si>
  <si>
    <t>TRX088</t>
  </si>
  <si>
    <t>TRX089</t>
  </si>
  <si>
    <t>TRX090</t>
  </si>
  <si>
    <t>TRX091</t>
  </si>
  <si>
    <t>TRX092</t>
  </si>
  <si>
    <t>TRX093</t>
  </si>
  <si>
    <t>TRX094</t>
  </si>
  <si>
    <t>TRX095</t>
  </si>
  <si>
    <t>TRX096</t>
  </si>
  <si>
    <t>TRX097</t>
  </si>
  <si>
    <t>TRX098</t>
  </si>
  <si>
    <t>TRX099</t>
  </si>
  <si>
    <t>TRX100</t>
  </si>
  <si>
    <t>Grand Total</t>
  </si>
  <si>
    <t>Count of Transaction_ID</t>
  </si>
  <si>
    <t>Count of Product_ID</t>
  </si>
  <si>
    <t>Month</t>
  </si>
  <si>
    <t>Transaction_Value</t>
  </si>
  <si>
    <t>Net_Good_Qty</t>
  </si>
  <si>
    <t>Signed_Quantity</t>
  </si>
  <si>
    <t>Damage_Rate</t>
  </si>
  <si>
    <t>Delayed_Flag</t>
  </si>
  <si>
    <t>Pending_Flag</t>
  </si>
  <si>
    <t>High_Process_Flag</t>
  </si>
  <si>
    <t>Column1</t>
  </si>
  <si>
    <t>Inbound_Qty</t>
  </si>
  <si>
    <t>Outbound_Qty</t>
  </si>
  <si>
    <t>Inbound_Value</t>
  </si>
  <si>
    <t>Outbound_Value</t>
  </si>
  <si>
    <t>Jan</t>
  </si>
  <si>
    <t>Feb</t>
  </si>
  <si>
    <t>Mar</t>
  </si>
  <si>
    <t>Apr</t>
  </si>
  <si>
    <t>May</t>
  </si>
  <si>
    <t>Jun</t>
  </si>
  <si>
    <t>Sum of Inbound_Qty</t>
  </si>
  <si>
    <t>Sum of Outbound_Qty</t>
  </si>
  <si>
    <t>Sum of Inbound_Value</t>
  </si>
  <si>
    <t>Sum of Outbound_Value</t>
  </si>
  <si>
    <t>Sum of Damaged_Qty</t>
  </si>
  <si>
    <t>Average of Processing_Time_Hours</t>
  </si>
  <si>
    <t>Monthly Activity</t>
  </si>
  <si>
    <t>Product Movement</t>
  </si>
  <si>
    <t>Sum of Quantity</t>
  </si>
  <si>
    <t>Category Activity</t>
  </si>
  <si>
    <t>Sum of Transaction_Value</t>
  </si>
  <si>
    <t>Supplier Performance</t>
  </si>
  <si>
    <t>Warehouse Location Activity</t>
  </si>
  <si>
    <t>Months (Month)</t>
  </si>
  <si>
    <t>Days (Month)</t>
  </si>
  <si>
    <t>Warehouse performance dashboard</t>
  </si>
  <si>
    <t>Transactions from January to June 2026</t>
  </si>
  <si>
    <t>Net stock movement</t>
  </si>
  <si>
    <t>Inbound Value</t>
  </si>
  <si>
    <t>Outbound Value</t>
  </si>
  <si>
    <t>Overall Damage Rate</t>
  </si>
  <si>
    <t>Delayed Transactions</t>
  </si>
  <si>
    <t>Pending Transactions</t>
  </si>
  <si>
    <t>Completion Rate</t>
  </si>
  <si>
    <t>Total Inbound Quantity</t>
  </si>
  <si>
    <t>Total Outbound Quantity</t>
  </si>
  <si>
    <t>Jan 26</t>
  </si>
  <si>
    <t>Feb 26</t>
  </si>
  <si>
    <t xml:space="preserve">Mar 26 </t>
  </si>
  <si>
    <t>April 26</t>
  </si>
  <si>
    <t>May 26</t>
  </si>
  <si>
    <t>Jun 26</t>
  </si>
  <si>
    <t xml:space="preserve">Month </t>
  </si>
  <si>
    <t>Jan 2026</t>
  </si>
  <si>
    <t>Feb 2026</t>
  </si>
  <si>
    <t>Mar 2026</t>
  </si>
  <si>
    <t>Apr 2026</t>
  </si>
  <si>
    <t>Mei 2026</t>
  </si>
  <si>
    <t>Jun 2026</t>
  </si>
  <si>
    <t>Product</t>
  </si>
  <si>
    <t>Total Movement</t>
  </si>
  <si>
    <t xml:space="preserve">Location </t>
  </si>
  <si>
    <t>Total Qty</t>
  </si>
  <si>
    <t>Transaction</t>
  </si>
  <si>
    <t>Damaged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</si>
</sst>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Rp&quot;#,##0.00"/>
    <numFmt numFmtId="166" formatCode="&quot;Rp&quot;#,##0"/>
    <numFmt numFmtId="167" formatCode="0.0%"/>
    <numFmt numFmtId="168" formatCode="[h]&quot; jam &quot;mm&quot; menit&quot;"/>
  </numFmts>
  <fonts count="12" x14ac:knownFonts="1">
    <font>
      <sz val="11"/>
      <name val="Carlito"/>
    </font>
    <font>
      <sz val="10"/>
      <color rgb="FF1F2937"/>
      <name val="Arial"/>
      <family val="2"/>
    </font>
    <font>
      <b/>
      <sz val="10"/>
      <color rgb="FFFFFFFF"/>
      <name val="Arial"/>
      <family val="2"/>
    </font>
    <font>
      <sz val="11"/>
      <name val="Carlito"/>
      <family val="2"/>
    </font>
    <font>
      <b/>
      <sz val="11"/>
      <name val="Carlito"/>
      <family val="2"/>
    </font>
    <font>
      <sz val="11"/>
      <name val="Arial"/>
      <family val="2"/>
    </font>
    <font>
      <b/>
      <u/>
      <sz val="16"/>
      <color theme="4"/>
      <name val="Arial"/>
      <family val="2"/>
    </font>
    <font>
      <sz val="10"/>
      <color theme="1" tint="0.34998626667073579"/>
      <name val="Arial"/>
      <family val="2"/>
    </font>
    <font>
      <b/>
      <sz val="11"/>
      <name val="Arial"/>
      <family val="2"/>
    </font>
    <font>
      <sz val="16"/>
      <color theme="9"/>
      <name val="Arial"/>
      <family val="2"/>
    </font>
    <font>
      <sz val="16"/>
      <color theme="5"/>
      <name val="Arial"/>
      <family val="2"/>
    </font>
    <font>
      <sz val="16"/>
      <color theme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/>
      <top style="thin">
        <color theme="9"/>
      </top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14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right" vertical="center"/>
    </xf>
    <xf numFmtId="164" fontId="1" fillId="0" borderId="4" xfId="0" applyNumberFormat="1" applyFont="1" applyFill="1" applyBorder="1" applyAlignment="1">
      <alignment horizontal="right" vertical="center"/>
    </xf>
    <xf numFmtId="0" fontId="1" fillId="0" borderId="5" xfId="0" applyNumberFormat="1" applyFont="1" applyFill="1" applyBorder="1" applyAlignment="1">
      <alignment horizontal="center" vertical="center"/>
    </xf>
    <xf numFmtId="14" fontId="1" fillId="0" borderId="5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vertical="center"/>
    </xf>
    <xf numFmtId="3" fontId="1" fillId="0" borderId="5" xfId="0" applyNumberFormat="1" applyFont="1" applyFill="1" applyBorder="1" applyAlignment="1">
      <alignment horizontal="right" vertical="center"/>
    </xf>
    <xf numFmtId="164" fontId="1" fillId="0" borderId="5" xfId="0" applyNumberFormat="1" applyFont="1" applyFill="1" applyBorder="1" applyAlignment="1">
      <alignment horizontal="right" vertical="center"/>
    </xf>
    <xf numFmtId="0" fontId="1" fillId="0" borderId="6" xfId="0" applyNumberFormat="1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right" vertical="center"/>
    </xf>
    <xf numFmtId="164" fontId="1" fillId="0" borderId="6" xfId="0" applyNumberFormat="1" applyFont="1" applyFill="1" applyBorder="1" applyAlignment="1">
      <alignment horizontal="right" vertical="center"/>
    </xf>
    <xf numFmtId="0" fontId="0" fillId="0" borderId="0" xfId="0" pivotButton="1"/>
    <xf numFmtId="0" fontId="0" fillId="0" borderId="0" xfId="0" applyNumberFormat="1"/>
    <xf numFmtId="0" fontId="3" fillId="0" borderId="0" xfId="0" applyFont="1"/>
    <xf numFmtId="17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4" fillId="0" borderId="0" xfId="0" applyFont="1"/>
    <xf numFmtId="49" fontId="3" fillId="0" borderId="0" xfId="0" quotePrefix="1" applyNumberFormat="1" applyFont="1"/>
    <xf numFmtId="49" fontId="3" fillId="0" borderId="0" xfId="0" applyNumberFormat="1" applyFont="1"/>
    <xf numFmtId="0" fontId="8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bgColor rgb="FFFF0000"/>
        </patternFill>
      </fill>
    </dxf>
    <dxf>
      <numFmt numFmtId="165" formatCode="&quot;Rp&quot;#,##0.00"/>
    </dxf>
    <dxf>
      <numFmt numFmtId="164" formatCode="0.0"/>
    </dxf>
    <dxf>
      <numFmt numFmtId="166" formatCode="&quot;Rp&quot;#,##0"/>
    </dxf>
    <dxf>
      <numFmt numFmtId="166" formatCode="&quot;Rp&quot;#,##0"/>
    </dxf>
    <dxf>
      <numFmt numFmtId="164" formatCode="0.0"/>
    </dxf>
    <dxf>
      <numFmt numFmtId="164" formatCode="0.0"/>
    </dxf>
    <dxf>
      <numFmt numFmtId="166" formatCode="&quot;Rp&quot;#,##0"/>
    </dxf>
    <dxf>
      <numFmt numFmtId="166" formatCode="&quot;Rp&quot;#,##0"/>
    </dxf>
    <dxf>
      <numFmt numFmtId="0" formatCode="General"/>
    </dxf>
    <dxf>
      <numFmt numFmtId="0" formatCode="General"/>
    </dxf>
    <dxf>
      <numFmt numFmtId="168" formatCode="[h]&quot; jam &quot;mm&quot; menit&quot;"/>
    </dxf>
    <dxf>
      <numFmt numFmtId="0" formatCode="General"/>
    </dxf>
    <dxf>
      <numFmt numFmtId="0" formatCode="General"/>
    </dxf>
    <dxf>
      <numFmt numFmtId="0" formatCode="General"/>
    </dxf>
    <dxf>
      <numFmt numFmtId="167" formatCode="0.0%"/>
    </dxf>
    <dxf>
      <numFmt numFmtId="0" formatCode="General"/>
    </dxf>
    <dxf>
      <numFmt numFmtId="3" formatCode="#,##0"/>
    </dxf>
    <dxf>
      <numFmt numFmtId="166" formatCode="&quot;Rp&quot;#,##0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Inbound vs outbound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957073603758499E-2"/>
          <c:y val="0.25073547419667508"/>
          <c:w val="0.8952408040427926"/>
          <c:h val="0.6471143851569362"/>
        </c:manualLayout>
      </c:layout>
      <c:lineChart>
        <c:grouping val="standard"/>
        <c:varyColors val="0"/>
        <c:ser>
          <c:idx val="0"/>
          <c:order val="0"/>
          <c:tx>
            <c:strRef>
              <c:f>Dashboard!$T$4</c:f>
              <c:strCache>
                <c:ptCount val="1"/>
                <c:pt idx="0">
                  <c:v>Inbound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Dashboard!$S$5:$S$11</c:f>
              <c:strCache>
                <c:ptCount val="7"/>
                <c:pt idx="1">
                  <c:v>Jan 2026</c:v>
                </c:pt>
                <c:pt idx="2">
                  <c:v>Feb 2026</c:v>
                </c:pt>
                <c:pt idx="3">
                  <c:v>Mar 2026</c:v>
                </c:pt>
                <c:pt idx="4">
                  <c:v>Apr 2026</c:v>
                </c:pt>
                <c:pt idx="5">
                  <c:v>Mei 2026</c:v>
                </c:pt>
                <c:pt idx="6">
                  <c:v>Jun 2026</c:v>
                </c:pt>
              </c:strCache>
            </c:strRef>
          </c:cat>
          <c:val>
            <c:numRef>
              <c:f>Dashboard!$T$5:$T$11</c:f>
              <c:numCache>
                <c:formatCode>General</c:formatCode>
                <c:ptCount val="7"/>
                <c:pt idx="1">
                  <c:v>664</c:v>
                </c:pt>
                <c:pt idx="2">
                  <c:v>591</c:v>
                </c:pt>
                <c:pt idx="3">
                  <c:v>434</c:v>
                </c:pt>
                <c:pt idx="4">
                  <c:v>488</c:v>
                </c:pt>
                <c:pt idx="5">
                  <c:v>255</c:v>
                </c:pt>
                <c:pt idx="6">
                  <c:v>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D-465D-814E-BB540394C7A0}"/>
            </c:ext>
          </c:extLst>
        </c:ser>
        <c:ser>
          <c:idx val="1"/>
          <c:order val="1"/>
          <c:tx>
            <c:strRef>
              <c:f>Dashboard!$U$4</c:f>
              <c:strCache>
                <c:ptCount val="1"/>
                <c:pt idx="0">
                  <c:v>Outbound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Dashboard!$S$5:$S$11</c:f>
              <c:strCache>
                <c:ptCount val="7"/>
                <c:pt idx="1">
                  <c:v>Jan 2026</c:v>
                </c:pt>
                <c:pt idx="2">
                  <c:v>Feb 2026</c:v>
                </c:pt>
                <c:pt idx="3">
                  <c:v>Mar 2026</c:v>
                </c:pt>
                <c:pt idx="4">
                  <c:v>Apr 2026</c:v>
                </c:pt>
                <c:pt idx="5">
                  <c:v>Mei 2026</c:v>
                </c:pt>
                <c:pt idx="6">
                  <c:v>Jun 2026</c:v>
                </c:pt>
              </c:strCache>
            </c:strRef>
          </c:cat>
          <c:val>
            <c:numRef>
              <c:f>Dashboard!$U$5:$U$11</c:f>
              <c:numCache>
                <c:formatCode>General</c:formatCode>
                <c:ptCount val="7"/>
                <c:pt idx="1">
                  <c:v>124</c:v>
                </c:pt>
                <c:pt idx="2">
                  <c:v>559</c:v>
                </c:pt>
                <c:pt idx="3">
                  <c:v>489</c:v>
                </c:pt>
                <c:pt idx="4">
                  <c:v>468</c:v>
                </c:pt>
                <c:pt idx="5">
                  <c:v>567</c:v>
                </c:pt>
                <c:pt idx="6">
                  <c:v>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D-465D-814E-BB540394C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086191"/>
        <c:axId val="527084271"/>
      </c:lineChart>
      <c:catAx>
        <c:axId val="52708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84271"/>
        <c:crosses val="autoZero"/>
        <c:auto val="1"/>
        <c:lblAlgn val="ctr"/>
        <c:lblOffset val="100"/>
        <c:noMultiLvlLbl val="0"/>
      </c:catAx>
      <c:valAx>
        <c:axId val="52708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8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19659408451312"/>
          <c:y val="9.0086526179540258E-2"/>
          <c:w val="0.36901626060879361"/>
          <c:h val="7.1605868023269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Top products by movement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Dashboard!$Y$4</c:f>
              <c:strCache>
                <c:ptCount val="1"/>
                <c:pt idx="0">
                  <c:v>Total Movement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Dashboard!$W$5:$W$13</c:f>
              <c:strCache>
                <c:ptCount val="9"/>
                <c:pt idx="1">
                  <c:v>Lakban Bening 48 mm</c:v>
                </c:pt>
                <c:pt idx="2">
                  <c:v>Mi Instan Goreng</c:v>
                </c:pt>
                <c:pt idx="3">
                  <c:v>Lampu LED 12 Watt</c:v>
                </c:pt>
                <c:pt idx="4">
                  <c:v>Buku Tulis A5</c:v>
                </c:pt>
                <c:pt idx="5">
                  <c:v>Baterai AA Isi 4</c:v>
                </c:pt>
                <c:pt idx="6">
                  <c:v>Kertas A4 80 gsm</c:v>
                </c:pt>
                <c:pt idx="7">
                  <c:v>Pulpen Gel Hitam</c:v>
                </c:pt>
                <c:pt idx="8">
                  <c:v>Teh Celup 25 Sachet</c:v>
                </c:pt>
              </c:strCache>
            </c:strRef>
          </c:cat>
          <c:val>
            <c:numRef>
              <c:f>Dashboard!$Y$5:$Y$13</c:f>
              <c:numCache>
                <c:formatCode>General</c:formatCode>
                <c:ptCount val="9"/>
                <c:pt idx="1">
                  <c:v>625</c:v>
                </c:pt>
                <c:pt idx="2">
                  <c:v>459</c:v>
                </c:pt>
                <c:pt idx="3">
                  <c:v>422</c:v>
                </c:pt>
                <c:pt idx="4">
                  <c:v>420</c:v>
                </c:pt>
                <c:pt idx="5">
                  <c:v>406</c:v>
                </c:pt>
                <c:pt idx="6">
                  <c:v>381</c:v>
                </c:pt>
                <c:pt idx="7">
                  <c:v>373</c:v>
                </c:pt>
                <c:pt idx="8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0-43E2-9F2D-1651EFC5F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27101071"/>
        <c:axId val="5270929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Dashboard!$W$5:$W$13</c15:sqref>
                        </c15:formulaRef>
                      </c:ext>
                    </c:extLst>
                    <c:strCache>
                      <c:ptCount val="9"/>
                      <c:pt idx="1">
                        <c:v>Lakban Bening 48 mm</c:v>
                      </c:pt>
                      <c:pt idx="2">
                        <c:v>Mi Instan Goreng</c:v>
                      </c:pt>
                      <c:pt idx="3">
                        <c:v>Lampu LED 12 Watt</c:v>
                      </c:pt>
                      <c:pt idx="4">
                        <c:v>Buku Tulis A5</c:v>
                      </c:pt>
                      <c:pt idx="5">
                        <c:v>Baterai AA Isi 4</c:v>
                      </c:pt>
                      <c:pt idx="6">
                        <c:v>Kertas A4 80 gsm</c:v>
                      </c:pt>
                      <c:pt idx="7">
                        <c:v>Pulpen Gel Hitam</c:v>
                      </c:pt>
                      <c:pt idx="8">
                        <c:v>Teh Celup 25 Sachet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Dashboard!$X$5:$X$13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BE0-43E2-9F2D-1651EFC5F9E8}"/>
                  </c:ext>
                </c:extLst>
              </c15:ser>
            </c15:filteredBarSeries>
          </c:ext>
        </c:extLst>
      </c:barChart>
      <c:catAx>
        <c:axId val="52710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92911"/>
        <c:crosses val="autoZero"/>
        <c:auto val="1"/>
        <c:lblAlgn val="ctr"/>
        <c:lblOffset val="100"/>
        <c:noMultiLvlLbl val="0"/>
      </c:catAx>
      <c:valAx>
        <c:axId val="52709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0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Inbound and outbound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Dashboard!$AB$4</c:f>
              <c:strCache>
                <c:ptCount val="1"/>
                <c:pt idx="0">
                  <c:v>Inbound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Dashboard!$AA$5:$AA$10</c:f>
              <c:strCache>
                <c:ptCount val="6"/>
                <c:pt idx="1">
                  <c:v>Alat Tulis</c:v>
                </c:pt>
                <c:pt idx="2">
                  <c:v>Elektronik</c:v>
                </c:pt>
                <c:pt idx="3">
                  <c:v>Kebersihan</c:v>
                </c:pt>
                <c:pt idx="4">
                  <c:v>Makanan</c:v>
                </c:pt>
                <c:pt idx="5">
                  <c:v>Minuman</c:v>
                </c:pt>
              </c:strCache>
            </c:strRef>
          </c:cat>
          <c:val>
            <c:numRef>
              <c:f>Dashboard!$AB$5:$AB$10</c:f>
              <c:numCache>
                <c:formatCode>General</c:formatCode>
                <c:ptCount val="6"/>
                <c:pt idx="1">
                  <c:v>1010</c:v>
                </c:pt>
                <c:pt idx="2">
                  <c:v>497</c:v>
                </c:pt>
                <c:pt idx="3">
                  <c:v>232</c:v>
                </c:pt>
                <c:pt idx="4">
                  <c:v>988</c:v>
                </c:pt>
                <c:pt idx="5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0-499D-B2B4-2C5F2FB3BA89}"/>
            </c:ext>
          </c:extLst>
        </c:ser>
        <c:ser>
          <c:idx val="1"/>
          <c:order val="1"/>
          <c:tx>
            <c:strRef>
              <c:f>Dashboard!$AC$4</c:f>
              <c:strCache>
                <c:ptCount val="1"/>
                <c:pt idx="0">
                  <c:v>Outbound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Dashboard!$AA$5:$AA$10</c:f>
              <c:strCache>
                <c:ptCount val="6"/>
                <c:pt idx="1">
                  <c:v>Alat Tulis</c:v>
                </c:pt>
                <c:pt idx="2">
                  <c:v>Elektronik</c:v>
                </c:pt>
                <c:pt idx="3">
                  <c:v>Kebersihan</c:v>
                </c:pt>
                <c:pt idx="4">
                  <c:v>Makanan</c:v>
                </c:pt>
                <c:pt idx="5">
                  <c:v>Minuman</c:v>
                </c:pt>
              </c:strCache>
            </c:strRef>
          </c:cat>
          <c:val>
            <c:numRef>
              <c:f>Dashboard!$AC$5:$AC$10</c:f>
              <c:numCache>
                <c:formatCode>General</c:formatCode>
                <c:ptCount val="6"/>
                <c:pt idx="1">
                  <c:v>789</c:v>
                </c:pt>
                <c:pt idx="2">
                  <c:v>571</c:v>
                </c:pt>
                <c:pt idx="3">
                  <c:v>549</c:v>
                </c:pt>
                <c:pt idx="4">
                  <c:v>159</c:v>
                </c:pt>
                <c:pt idx="5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0-499D-B2B4-2C5F2FB3B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43135"/>
        <c:axId val="92445055"/>
      </c:barChart>
      <c:catAx>
        <c:axId val="9244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5055"/>
        <c:crosses val="autoZero"/>
        <c:auto val="1"/>
        <c:lblAlgn val="ctr"/>
        <c:lblOffset val="100"/>
        <c:noMultiLvlLbl val="0"/>
      </c:catAx>
      <c:valAx>
        <c:axId val="9244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Activity by warehouse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Dashboard!$AF$4</c:f>
              <c:strCache>
                <c:ptCount val="1"/>
                <c:pt idx="0">
                  <c:v>Total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Dashboard!$AE$5:$AE$13</c:f>
              <c:strCache>
                <c:ptCount val="9"/>
                <c:pt idx="1">
                  <c:v>Rack A1</c:v>
                </c:pt>
                <c:pt idx="2">
                  <c:v>Rack A2</c:v>
                </c:pt>
                <c:pt idx="3">
                  <c:v>Rack B1</c:v>
                </c:pt>
                <c:pt idx="4">
                  <c:v>Rack B2</c:v>
                </c:pt>
                <c:pt idx="5">
                  <c:v>Rack C1</c:v>
                </c:pt>
                <c:pt idx="6">
                  <c:v>Rack C2</c:v>
                </c:pt>
                <c:pt idx="7">
                  <c:v>Rack D1</c:v>
                </c:pt>
                <c:pt idx="8">
                  <c:v>Rack D2</c:v>
                </c:pt>
              </c:strCache>
            </c:strRef>
          </c:cat>
          <c:val>
            <c:numRef>
              <c:f>Dashboard!$AF$5:$AF$13</c:f>
              <c:numCache>
                <c:formatCode>General</c:formatCode>
                <c:ptCount val="9"/>
                <c:pt idx="1">
                  <c:v>559</c:v>
                </c:pt>
                <c:pt idx="2">
                  <c:v>350</c:v>
                </c:pt>
                <c:pt idx="3">
                  <c:v>552</c:v>
                </c:pt>
                <c:pt idx="4">
                  <c:v>595</c:v>
                </c:pt>
                <c:pt idx="5">
                  <c:v>205</c:v>
                </c:pt>
                <c:pt idx="6">
                  <c:v>576</c:v>
                </c:pt>
                <c:pt idx="7">
                  <c:v>994</c:v>
                </c:pt>
                <c:pt idx="8">
                  <c:v>1873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9-43CB-96ED-DCD2EFDC9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458479"/>
        <c:axId val="246453199"/>
      </c:barChart>
      <c:catAx>
        <c:axId val="24645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53199"/>
        <c:crosses val="autoZero"/>
        <c:auto val="1"/>
        <c:lblAlgn val="ctr"/>
        <c:lblOffset val="100"/>
        <c:noMultiLvlLbl val="0"/>
      </c:catAx>
      <c:valAx>
        <c:axId val="24645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5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Transaction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Dashboard!$AI$4</c:f>
              <c:strCache>
                <c:ptCount val="1"/>
                <c:pt idx="0">
                  <c:v>Transaction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A4-453D-BCDB-9395AC58A0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A4-453D-BCDB-9395AC58A0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A4-453D-BCDB-9395AC58A0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A4-453D-BCDB-9395AC58A07E}"/>
              </c:ext>
            </c:extLst>
          </c:dPt>
          <c:cat>
            <c:strRef>
              <c:f>Dashboard!$AH$5:$AH$8</c:f>
              <c:strCache>
                <c:ptCount val="4"/>
                <c:pt idx="1">
                  <c:v>Completed</c:v>
                </c:pt>
                <c:pt idx="2">
                  <c:v>Delayed</c:v>
                </c:pt>
                <c:pt idx="3">
                  <c:v>Pending</c:v>
                </c:pt>
              </c:strCache>
            </c:strRef>
          </c:cat>
          <c:val>
            <c:numRef>
              <c:f>Dashboard!$AI$5:$AI$8</c:f>
              <c:numCache>
                <c:formatCode>General</c:formatCode>
                <c:ptCount val="4"/>
                <c:pt idx="1">
                  <c:v>80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A-4A98-89AF-B69F1FCFF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Damaged quantity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Dashboard!$AL$4</c:f>
              <c:strCache>
                <c:ptCount val="1"/>
                <c:pt idx="0">
                  <c:v>Damaged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Dashboard!$AK$5:$AK$10</c:f>
              <c:strCache>
                <c:ptCount val="6"/>
                <c:pt idx="1">
                  <c:v>CV Pangan Makmur</c:v>
                </c:pt>
                <c:pt idx="2">
                  <c:v>CV Prima Office</c:v>
                </c:pt>
                <c:pt idx="3">
                  <c:v>PT Bersih Sentosa</c:v>
                </c:pt>
                <c:pt idx="4">
                  <c:v>PT Cahaya Elektrik</c:v>
                </c:pt>
                <c:pt idx="5">
                  <c:v>PT Sumber Segar</c:v>
                </c:pt>
              </c:strCache>
            </c:strRef>
          </c:cat>
          <c:val>
            <c:numRef>
              <c:f>Dashboard!$AL$5:$AL$10</c:f>
              <c:numCache>
                <c:formatCode>General</c:formatCode>
                <c:ptCount val="6"/>
                <c:pt idx="1">
                  <c:v>7</c:v>
                </c:pt>
                <c:pt idx="2">
                  <c:v>1</c:v>
                </c:pt>
                <c:pt idx="3">
                  <c:v>12</c:v>
                </c:pt>
                <c:pt idx="4">
                  <c:v>13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F-4E4B-9642-1D707AA9B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165551"/>
        <c:axId val="366167951"/>
      </c:barChart>
      <c:catAx>
        <c:axId val="36616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67951"/>
        <c:crosses val="autoZero"/>
        <c:auto val="1"/>
        <c:lblAlgn val="ctr"/>
        <c:lblOffset val="100"/>
        <c:noMultiLvlLbl val="0"/>
      </c:catAx>
      <c:valAx>
        <c:axId val="36616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6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18</xdr:row>
      <xdr:rowOff>143933</xdr:rowOff>
    </xdr:from>
    <xdr:to>
      <xdr:col>7</xdr:col>
      <xdr:colOff>601132</xdr:colOff>
      <xdr:row>34</xdr:row>
      <xdr:rowOff>156634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53DCE-F621-AFC0-317C-4C22B86E4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541866</xdr:colOff>
      <xdr:row>19</xdr:row>
      <xdr:rowOff>88901</xdr:rowOff>
    </xdr:from>
    <xdr:to>
      <xdr:col>17</xdr:col>
      <xdr:colOff>237066</xdr:colOff>
      <xdr:row>34</xdr:row>
      <xdr:rowOff>38101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B3611A-DBDA-6DCB-3320-77789C535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182034</xdr:colOff>
      <xdr:row>39</xdr:row>
      <xdr:rowOff>118533</xdr:rowOff>
    </xdr:from>
    <xdr:to>
      <xdr:col>7</xdr:col>
      <xdr:colOff>486834</xdr:colOff>
      <xdr:row>54</xdr:row>
      <xdr:rowOff>67733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886330-6FE7-E0AA-4F81-DBA3C5502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516467</xdr:colOff>
      <xdr:row>39</xdr:row>
      <xdr:rowOff>148166</xdr:rowOff>
    </xdr:from>
    <xdr:to>
      <xdr:col>17</xdr:col>
      <xdr:colOff>211667</xdr:colOff>
      <xdr:row>54</xdr:row>
      <xdr:rowOff>97366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EDC45E-ABF2-B454-2DED-2AA65EFA1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143933</xdr:colOff>
      <xdr:row>57</xdr:row>
      <xdr:rowOff>122768</xdr:rowOff>
    </xdr:from>
    <xdr:to>
      <xdr:col>7</xdr:col>
      <xdr:colOff>448733</xdr:colOff>
      <xdr:row>72</xdr:row>
      <xdr:rowOff>71968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36C703-EA18-A8F0-151B-C1C991B59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397936</xdr:colOff>
      <xdr:row>58</xdr:row>
      <xdr:rowOff>38100</xdr:rowOff>
    </xdr:from>
    <xdr:to>
      <xdr:col>17</xdr:col>
      <xdr:colOff>93136</xdr:colOff>
      <xdr:row>72</xdr:row>
      <xdr:rowOff>173566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58A2AB-AE0E-2D1D-5086-E838BCA57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Book Hype AMD" refreshedDate="46288.656297569447" createdVersion="8" refreshedVersion="8" minRefreshableVersion="3" recordCount="100" xr:uid="{9AD060A2-5AC3-4EC8-9EEE-153A26B5A59A}">
  <cacheSource type="worksheet">
    <worksheetSource name="WarehouseTransactions3"/>
  </cacheSource>
  <cacheFields count="28">
    <cacheField name="Transaction_ID" numFmtId="0">
      <sharedItems/>
    </cacheField>
    <cacheField name="Date" numFmtId="14">
      <sharedItems containsSemiMixedTypes="0" containsNonDate="0" containsDate="1" containsString="0" minDate="2026-01-02T00:00:00" maxDate="2026-06-28T00:00:00"/>
    </cacheField>
    <cacheField name="Product_ID" numFmtId="0">
      <sharedItems/>
    </cacheField>
    <cacheField name="Product_Name" numFmtId="0">
      <sharedItems count="18">
        <s v="Pulpen Gel Hitam"/>
        <s v="Teh Celup 25 Sachet"/>
        <s v="Kabel Ekstensi 3 Meter"/>
        <s v="Pembersih Lantai 800 ml"/>
        <s v="Kertas A4 80 gsm"/>
        <s v="Minyak Goreng 1 L"/>
        <s v="Air Mineral 600 ml"/>
        <s v="Deterjen Bubuk 800 g"/>
        <s v="Lakban Bening 48 mm"/>
        <s v="Buku Tulis A5"/>
        <s v="Mi Instan Goreng"/>
        <s v="Lampu LED 12 Watt"/>
        <s v="Sarden Kaleng 155 g"/>
        <s v="Baterai AA Isi 4"/>
        <s v="Tisu Gulung 10 Roll"/>
        <s v="Sabun Cuci Piring 750 ml"/>
        <s v="Kopi Instan Sachet"/>
        <s v="Biskuit Cokelat 200 g"/>
      </sharedItems>
    </cacheField>
    <cacheField name="Category" numFmtId="0">
      <sharedItems count="5">
        <s v="Alat Tulis"/>
        <s v="Minuman"/>
        <s v="Elektronik"/>
        <s v="Kebersihan"/>
        <s v="Makanan"/>
      </sharedItems>
    </cacheField>
    <cacheField name="Transaction_Type" numFmtId="0">
      <sharedItems/>
    </cacheField>
    <cacheField name="Quantity" numFmtId="3">
      <sharedItems containsSemiMixedTypes="0" containsString="0" containsNumber="1" containsInteger="1" minValue="5" maxValue="100"/>
    </cacheField>
    <cacheField name="Supplier" numFmtId="0">
      <sharedItems count="5">
        <s v="CV Prima Office"/>
        <s v="PT Sumber Segar"/>
        <s v="PT Cahaya Elektrik"/>
        <s v="PT Bersih Sentosa"/>
        <s v="CV Pangan Makmur"/>
      </sharedItems>
    </cacheField>
    <cacheField name="Warehouse_Location" numFmtId="0">
      <sharedItems count="8">
        <s v="Rack D1"/>
        <s v="Rack A2"/>
        <s v="Rack C2"/>
        <s v="Rack B2"/>
        <s v="Rack A1"/>
        <s v="Rack C1"/>
        <s v="Rack D2"/>
        <s v="Rack B1"/>
      </sharedItems>
    </cacheField>
    <cacheField name="Unit_Cost" numFmtId="3">
      <sharedItems containsSemiMixedTypes="0" containsString="0" containsNumber="1" containsInteger="1" minValue="3100" maxValue="68500"/>
    </cacheField>
    <cacheField name="Damaged_Qty" numFmtId="3">
      <sharedItems containsSemiMixedTypes="0" containsString="0" containsNumber="1" containsInteger="1" minValue="0" maxValue="5"/>
    </cacheField>
    <cacheField name="Processing_Time_Hours" numFmtId="164">
      <sharedItems containsSemiMixedTypes="0" containsString="0" containsNumber="1" minValue="1.3" maxValue="17"/>
    </cacheField>
    <cacheField name="Status" numFmtId="0">
      <sharedItems count="3">
        <s v="Completed"/>
        <s v="Delayed"/>
        <s v="Pending"/>
      </sharedItems>
    </cacheField>
    <cacheField name="Month" numFmtId="17">
      <sharedItems containsSemiMixedTypes="0" containsNonDate="0" containsDate="1" containsString="0" minDate="2026-01-01T00:00:00" maxDate="2026-06-02T00:00:00" count="6">
        <d v="2026-01-01T00:00:00"/>
        <d v="2026-02-01T00:00:00"/>
        <d v="2026-03-01T00:00:00"/>
        <d v="2026-04-01T00:00:00"/>
        <d v="2026-05-01T00:00:00"/>
        <d v="2026-06-01T00:00:00"/>
      </sharedItems>
      <fieldGroup par="27"/>
    </cacheField>
    <cacheField name="Transaction_Value" numFmtId="166">
      <sharedItems containsSemiMixedTypes="0" containsString="0" containsNumber="1" containsInteger="1" minValue="96100" maxValue="6850000"/>
    </cacheField>
    <cacheField name="Net_Good_Qty" numFmtId="3">
      <sharedItems containsSemiMixedTypes="0" containsString="0" containsNumber="1" containsInteger="1" minValue="5" maxValue="100"/>
    </cacheField>
    <cacheField name="Signed_Quantity" numFmtId="0">
      <sharedItems containsSemiMixedTypes="0" containsString="0" containsNumber="1" containsInteger="1" minValue="-100" maxValue="100"/>
    </cacheField>
    <cacheField name="Damage_Rate" numFmtId="167">
      <sharedItems containsSemiMixedTypes="0" containsString="0" containsNumber="1" minValue="0" maxValue="0.2"/>
    </cacheField>
    <cacheField name="Delayed_Flag" numFmtId="0">
      <sharedItems containsSemiMixedTypes="0" containsString="0" containsNumber="1" containsInteger="1" minValue="0" maxValue="1"/>
    </cacheField>
    <cacheField name="Pending_Flag" numFmtId="0">
      <sharedItems containsSemiMixedTypes="0" containsString="0" containsNumber="1" containsInteger="1" minValue="0" maxValue="1"/>
    </cacheField>
    <cacheField name="High_Process_Flag" numFmtId="0">
      <sharedItems containsSemiMixedTypes="0" containsString="0" containsNumber="1" containsInteger="1" minValue="0" maxValue="1"/>
    </cacheField>
    <cacheField name="Column1" numFmtId="168">
      <sharedItems containsSemiMixedTypes="0" containsNonDate="0" containsDate="1" containsString="0" minDate="1899-12-30T01:18:00" maxDate="1899-12-30T17:00:00"/>
    </cacheField>
    <cacheField name="Inbound_Qty" numFmtId="0">
      <sharedItems containsSemiMixedTypes="0" containsString="0" containsNumber="1" containsInteger="1" minValue="0" maxValue="100"/>
    </cacheField>
    <cacheField name="Outbound_Qty" numFmtId="0">
      <sharedItems containsSemiMixedTypes="0" containsString="0" containsNumber="1" containsInteger="1" minValue="0" maxValue="100"/>
    </cacheField>
    <cacheField name="Inbound_Value" numFmtId="166">
      <sharedItems containsSemiMixedTypes="0" containsString="0" containsNumber="1" containsInteger="1" minValue="0" maxValue="6850000"/>
    </cacheField>
    <cacheField name="Outbound_Value" numFmtId="166">
      <sharedItems containsSemiMixedTypes="0" containsString="0" containsNumber="1" containsInteger="1" minValue="0" maxValue="3467500"/>
    </cacheField>
    <cacheField name="Days (Month)" numFmtId="0" databaseField="0">
      <fieldGroup base="13">
        <rangePr groupBy="days" startDate="2026-01-01T00:00:00" endDate="2026-06-02T00:00:00"/>
        <groupItems count="368">
          <s v="&lt;01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06/2026"/>
        </groupItems>
      </fieldGroup>
    </cacheField>
    <cacheField name="Months (Month)" numFmtId="0" databaseField="0">
      <fieldGroup base="13">
        <rangePr groupBy="months" startDate="2026-01-01T00:00:00" endDate="2026-06-02T00:00:00"/>
        <groupItems count="14">
          <s v="&lt;01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RX001"/>
    <d v="2026-01-02T00:00:00"/>
    <s v="PRD013"/>
    <x v="0"/>
    <x v="0"/>
    <s v="Inbound"/>
    <n v="69"/>
    <x v="0"/>
    <x v="0"/>
    <n v="6500"/>
    <n v="0"/>
    <n v="8.1"/>
    <x v="0"/>
    <x v="0"/>
    <n v="448500"/>
    <n v="69"/>
    <n v="69"/>
    <n v="0"/>
    <n v="0"/>
    <n v="0"/>
    <n v="1"/>
    <d v="1899-12-30T08:06:00"/>
    <n v="69"/>
    <n v="0"/>
    <n v="448500"/>
    <n v="0"/>
  </r>
  <r>
    <s v="TRX002"/>
    <d v="2026-01-02T00:00:00"/>
    <s v="PRD003"/>
    <x v="1"/>
    <x v="1"/>
    <s v="Inbound"/>
    <n v="27"/>
    <x v="1"/>
    <x v="1"/>
    <n v="11200"/>
    <n v="1"/>
    <n v="3.5"/>
    <x v="0"/>
    <x v="0"/>
    <n v="302400"/>
    <n v="26"/>
    <n v="27"/>
    <n v="3.7037037037037035E-2"/>
    <n v="0"/>
    <n v="0"/>
    <n v="0"/>
    <d v="1899-12-30T03:30:00"/>
    <n v="27"/>
    <n v="0"/>
    <n v="302400"/>
    <n v="0"/>
  </r>
  <r>
    <s v="TRX003"/>
    <d v="2026-01-03T00:00:00"/>
    <s v="PRD017"/>
    <x v="2"/>
    <x v="2"/>
    <s v="Outbound"/>
    <n v="17"/>
    <x v="2"/>
    <x v="0"/>
    <n v="68500"/>
    <n v="0"/>
    <n v="4.0999999999999996"/>
    <x v="0"/>
    <x v="0"/>
    <n v="1164500"/>
    <n v="17"/>
    <n v="-17"/>
    <n v="0"/>
    <n v="0"/>
    <n v="0"/>
    <n v="0"/>
    <d v="1899-12-30T04:06:00"/>
    <n v="0"/>
    <n v="17"/>
    <n v="0"/>
    <n v="1164500"/>
  </r>
  <r>
    <s v="TRX004"/>
    <d v="2026-01-05T00:00:00"/>
    <s v="PRD010"/>
    <x v="3"/>
    <x v="3"/>
    <s v="Outbound"/>
    <n v="25"/>
    <x v="3"/>
    <x v="2"/>
    <n v="13900"/>
    <n v="0"/>
    <n v="12.4"/>
    <x v="1"/>
    <x v="0"/>
    <n v="347500"/>
    <n v="25"/>
    <n v="-25"/>
    <n v="0"/>
    <n v="1"/>
    <n v="0"/>
    <n v="1"/>
    <d v="1899-12-30T12:24:00"/>
    <n v="0"/>
    <n v="25"/>
    <n v="0"/>
    <n v="347500"/>
  </r>
  <r>
    <s v="TRX005"/>
    <d v="2026-01-06T00:00:00"/>
    <s v="PRD012"/>
    <x v="4"/>
    <x v="0"/>
    <s v="Inbound"/>
    <n v="48"/>
    <x v="0"/>
    <x v="0"/>
    <n v="54500"/>
    <n v="0"/>
    <n v="12.1"/>
    <x v="2"/>
    <x v="0"/>
    <n v="2616000"/>
    <n v="48"/>
    <n v="48"/>
    <n v="0"/>
    <n v="0"/>
    <n v="1"/>
    <n v="1"/>
    <d v="1899-12-30T12:06:00"/>
    <n v="48"/>
    <n v="0"/>
    <n v="2616000"/>
    <n v="0"/>
  </r>
  <r>
    <s v="TRX006"/>
    <d v="2026-01-06T00:00:00"/>
    <s v="PRD007"/>
    <x v="5"/>
    <x v="4"/>
    <s v="Inbound"/>
    <n v="63"/>
    <x v="4"/>
    <x v="3"/>
    <n v="17200"/>
    <n v="0"/>
    <n v="6"/>
    <x v="0"/>
    <x v="0"/>
    <n v="1083600"/>
    <n v="63"/>
    <n v="63"/>
    <n v="0"/>
    <n v="0"/>
    <n v="0"/>
    <n v="0"/>
    <d v="1899-12-30T06:00:00"/>
    <n v="63"/>
    <n v="0"/>
    <n v="1083600"/>
    <n v="0"/>
  </r>
  <r>
    <s v="TRX007"/>
    <d v="2026-01-10T00:00:00"/>
    <s v="PRD017"/>
    <x v="2"/>
    <x v="2"/>
    <s v="Inbound"/>
    <n v="100"/>
    <x v="2"/>
    <x v="0"/>
    <n v="68500"/>
    <n v="0"/>
    <n v="10.8"/>
    <x v="2"/>
    <x v="0"/>
    <n v="6850000"/>
    <n v="100"/>
    <n v="100"/>
    <n v="0"/>
    <n v="0"/>
    <n v="1"/>
    <n v="1"/>
    <d v="1899-12-30T10:48:00"/>
    <n v="100"/>
    <n v="0"/>
    <n v="6850000"/>
    <n v="0"/>
  </r>
  <r>
    <s v="TRX008"/>
    <d v="2026-01-10T00:00:00"/>
    <s v="PRD003"/>
    <x v="1"/>
    <x v="1"/>
    <s v="Inbound"/>
    <n v="67"/>
    <x v="1"/>
    <x v="1"/>
    <n v="11200"/>
    <n v="0"/>
    <n v="4.8"/>
    <x v="0"/>
    <x v="0"/>
    <n v="750400"/>
    <n v="67"/>
    <n v="67"/>
    <n v="0"/>
    <n v="0"/>
    <n v="0"/>
    <n v="0"/>
    <d v="1899-12-30T04:48:00"/>
    <n v="67"/>
    <n v="0"/>
    <n v="750400"/>
    <n v="0"/>
  </r>
  <r>
    <s v="TRX009"/>
    <d v="2026-01-12T00:00:00"/>
    <s v="PRD012"/>
    <x v="4"/>
    <x v="0"/>
    <s v="Inbound"/>
    <n v="22"/>
    <x v="0"/>
    <x v="0"/>
    <n v="54500"/>
    <n v="0"/>
    <n v="4.3"/>
    <x v="0"/>
    <x v="0"/>
    <n v="1199000"/>
    <n v="22"/>
    <n v="22"/>
    <n v="0"/>
    <n v="0"/>
    <n v="0"/>
    <n v="0"/>
    <d v="1899-12-30T04:18:00"/>
    <n v="22"/>
    <n v="0"/>
    <n v="1199000"/>
    <n v="0"/>
  </r>
  <r>
    <s v="TRX010"/>
    <d v="2026-01-16T00:00:00"/>
    <s v="PRD017"/>
    <x v="2"/>
    <x v="2"/>
    <s v="Inbound"/>
    <n v="73"/>
    <x v="2"/>
    <x v="0"/>
    <n v="68500"/>
    <n v="0"/>
    <n v="4.4000000000000004"/>
    <x v="0"/>
    <x v="0"/>
    <n v="5000500"/>
    <n v="73"/>
    <n v="73"/>
    <n v="0"/>
    <n v="0"/>
    <n v="0"/>
    <n v="0"/>
    <d v="1899-12-30T04:24:00"/>
    <n v="73"/>
    <n v="0"/>
    <n v="5000500"/>
    <n v="0"/>
  </r>
  <r>
    <s v="TRX011"/>
    <d v="2026-01-16T00:00:00"/>
    <s v="PRD013"/>
    <x v="0"/>
    <x v="0"/>
    <s v="Inbound"/>
    <n v="46"/>
    <x v="0"/>
    <x v="0"/>
    <n v="6500"/>
    <n v="0"/>
    <n v="5.8"/>
    <x v="0"/>
    <x v="0"/>
    <n v="299000"/>
    <n v="46"/>
    <n v="46"/>
    <n v="0"/>
    <n v="0"/>
    <n v="0"/>
    <n v="0"/>
    <d v="1899-12-30T05:48:00"/>
    <n v="46"/>
    <n v="0"/>
    <n v="299000"/>
    <n v="0"/>
  </r>
  <r>
    <s v="TRX012"/>
    <d v="2026-01-17T00:00:00"/>
    <s v="PRD001"/>
    <x v="6"/>
    <x v="1"/>
    <s v="Inbound"/>
    <n v="50"/>
    <x v="1"/>
    <x v="4"/>
    <n v="3200"/>
    <n v="0"/>
    <n v="10.7"/>
    <x v="2"/>
    <x v="0"/>
    <n v="160000"/>
    <n v="50"/>
    <n v="50"/>
    <n v="0"/>
    <n v="0"/>
    <n v="1"/>
    <n v="1"/>
    <d v="1899-12-30T10:42:00"/>
    <n v="50"/>
    <n v="0"/>
    <n v="160000"/>
    <n v="0"/>
  </r>
  <r>
    <s v="TRX013"/>
    <d v="2026-01-18T00:00:00"/>
    <s v="PRD003"/>
    <x v="1"/>
    <x v="1"/>
    <s v="Outbound"/>
    <n v="34"/>
    <x v="1"/>
    <x v="1"/>
    <n v="11200"/>
    <n v="0"/>
    <n v="1.9"/>
    <x v="0"/>
    <x v="0"/>
    <n v="380800"/>
    <n v="34"/>
    <n v="-34"/>
    <n v="0"/>
    <n v="0"/>
    <n v="0"/>
    <n v="0"/>
    <d v="1899-12-30T01:54:00"/>
    <n v="0"/>
    <n v="34"/>
    <n v="0"/>
    <n v="380800"/>
  </r>
  <r>
    <s v="TRX014"/>
    <d v="2026-01-19T00:00:00"/>
    <s v="PRD009"/>
    <x v="7"/>
    <x v="3"/>
    <s v="Outbound"/>
    <n v="10"/>
    <x v="3"/>
    <x v="5"/>
    <n v="22400"/>
    <n v="2"/>
    <n v="4.7"/>
    <x v="0"/>
    <x v="0"/>
    <n v="224000"/>
    <n v="8"/>
    <n v="-10"/>
    <n v="0.2"/>
    <n v="0"/>
    <n v="0"/>
    <n v="0"/>
    <d v="1899-12-30T04:42:00"/>
    <n v="0"/>
    <n v="10"/>
    <n v="0"/>
    <n v="224000"/>
  </r>
  <r>
    <s v="TRX015"/>
    <d v="2026-01-22T00:00:00"/>
    <s v="PRD015"/>
    <x v="8"/>
    <x v="0"/>
    <s v="Inbound"/>
    <n v="42"/>
    <x v="0"/>
    <x v="6"/>
    <n v="12400"/>
    <n v="0"/>
    <n v="11"/>
    <x v="1"/>
    <x v="0"/>
    <n v="520800"/>
    <n v="42"/>
    <n v="42"/>
    <n v="0"/>
    <n v="1"/>
    <n v="0"/>
    <n v="1"/>
    <d v="1899-12-30T11:00:00"/>
    <n v="42"/>
    <n v="0"/>
    <n v="520800"/>
    <n v="0"/>
  </r>
  <r>
    <s v="TRX016"/>
    <d v="2026-01-24T00:00:00"/>
    <s v="PRD014"/>
    <x v="9"/>
    <x v="0"/>
    <s v="Outbound"/>
    <n v="38"/>
    <x v="0"/>
    <x v="6"/>
    <n v="7800"/>
    <n v="0"/>
    <n v="1.3"/>
    <x v="0"/>
    <x v="0"/>
    <n v="296400"/>
    <n v="38"/>
    <n v="-38"/>
    <n v="0"/>
    <n v="0"/>
    <n v="0"/>
    <n v="0"/>
    <d v="1899-12-30T01:18:00"/>
    <n v="0"/>
    <n v="38"/>
    <n v="0"/>
    <n v="296400"/>
  </r>
  <r>
    <s v="TRX017"/>
    <d v="2026-01-26T00:00:00"/>
    <s v="PRD005"/>
    <x v="10"/>
    <x v="4"/>
    <s v="Inbound"/>
    <n v="57"/>
    <x v="4"/>
    <x v="7"/>
    <n v="3100"/>
    <n v="0"/>
    <n v="1.7"/>
    <x v="0"/>
    <x v="0"/>
    <n v="176700"/>
    <n v="57"/>
    <n v="57"/>
    <n v="0"/>
    <n v="0"/>
    <n v="0"/>
    <n v="0"/>
    <d v="1899-12-30T01:42:00"/>
    <n v="57"/>
    <n v="0"/>
    <n v="176700"/>
    <n v="0"/>
  </r>
  <r>
    <s v="TRX018"/>
    <d v="2026-02-03T00:00:00"/>
    <s v="PRD007"/>
    <x v="5"/>
    <x v="4"/>
    <s v="Inbound"/>
    <n v="21"/>
    <x v="4"/>
    <x v="3"/>
    <n v="17200"/>
    <n v="0"/>
    <n v="4.5"/>
    <x v="0"/>
    <x v="1"/>
    <n v="361200"/>
    <n v="21"/>
    <n v="21"/>
    <n v="0"/>
    <n v="0"/>
    <n v="0"/>
    <n v="0"/>
    <d v="1899-12-30T04:30:00"/>
    <n v="21"/>
    <n v="0"/>
    <n v="361200"/>
    <n v="0"/>
  </r>
  <r>
    <s v="TRX019"/>
    <d v="2026-02-03T00:00:00"/>
    <s v="PRD016"/>
    <x v="11"/>
    <x v="2"/>
    <s v="Outbound"/>
    <n v="95"/>
    <x v="2"/>
    <x v="6"/>
    <n v="36500"/>
    <n v="0"/>
    <n v="8.4"/>
    <x v="0"/>
    <x v="1"/>
    <n v="3467500"/>
    <n v="95"/>
    <n v="-95"/>
    <n v="0"/>
    <n v="0"/>
    <n v="0"/>
    <n v="1"/>
    <d v="1899-12-30T08:24:00"/>
    <n v="0"/>
    <n v="95"/>
    <n v="0"/>
    <n v="3467500"/>
  </r>
  <r>
    <s v="TRX020"/>
    <d v="2026-02-04T00:00:00"/>
    <s v="PRD010"/>
    <x v="3"/>
    <x v="3"/>
    <s v="Outbound"/>
    <n v="80"/>
    <x v="3"/>
    <x v="2"/>
    <n v="13900"/>
    <n v="0"/>
    <n v="1.6"/>
    <x v="0"/>
    <x v="1"/>
    <n v="1112000"/>
    <n v="80"/>
    <n v="-80"/>
    <n v="0"/>
    <n v="0"/>
    <n v="0"/>
    <n v="0"/>
    <d v="1899-12-30T01:36:00"/>
    <n v="0"/>
    <n v="80"/>
    <n v="0"/>
    <n v="1112000"/>
  </r>
  <r>
    <s v="TRX021"/>
    <d v="2026-02-04T00:00:00"/>
    <s v="PRD003"/>
    <x v="1"/>
    <x v="1"/>
    <s v="Outbound"/>
    <n v="86"/>
    <x v="1"/>
    <x v="1"/>
    <n v="11200"/>
    <n v="0"/>
    <n v="2.4"/>
    <x v="0"/>
    <x v="1"/>
    <n v="963200"/>
    <n v="86"/>
    <n v="-86"/>
    <n v="0"/>
    <n v="0"/>
    <n v="0"/>
    <n v="0"/>
    <d v="1899-12-30T02:24:00"/>
    <n v="0"/>
    <n v="86"/>
    <n v="0"/>
    <n v="963200"/>
  </r>
  <r>
    <s v="TRX022"/>
    <d v="2026-02-08T00:00:00"/>
    <s v="PRD005"/>
    <x v="10"/>
    <x v="4"/>
    <s v="Outbound"/>
    <n v="31"/>
    <x v="4"/>
    <x v="7"/>
    <n v="3100"/>
    <n v="0"/>
    <n v="1.8"/>
    <x v="0"/>
    <x v="1"/>
    <n v="96100"/>
    <n v="31"/>
    <n v="-31"/>
    <n v="0"/>
    <n v="0"/>
    <n v="0"/>
    <n v="0"/>
    <d v="1899-12-30T01:48:00"/>
    <n v="0"/>
    <n v="31"/>
    <n v="0"/>
    <n v="96100"/>
  </r>
  <r>
    <s v="TRX023"/>
    <d v="2026-02-09T00:00:00"/>
    <s v="PRD014"/>
    <x v="9"/>
    <x v="0"/>
    <s v="Inbound"/>
    <n v="78"/>
    <x v="0"/>
    <x v="6"/>
    <n v="7800"/>
    <n v="0"/>
    <n v="7.5"/>
    <x v="1"/>
    <x v="1"/>
    <n v="608400"/>
    <n v="78"/>
    <n v="78"/>
    <n v="0"/>
    <n v="1"/>
    <n v="0"/>
    <n v="0"/>
    <d v="1899-12-30T07:30:00"/>
    <n v="78"/>
    <n v="0"/>
    <n v="608400"/>
    <n v="0"/>
  </r>
  <r>
    <s v="TRX024"/>
    <d v="2026-02-10T00:00:00"/>
    <s v="PRD015"/>
    <x v="8"/>
    <x v="0"/>
    <s v="Inbound"/>
    <n v="39"/>
    <x v="0"/>
    <x v="6"/>
    <n v="12400"/>
    <n v="0"/>
    <n v="4.5"/>
    <x v="0"/>
    <x v="1"/>
    <n v="483600"/>
    <n v="39"/>
    <n v="39"/>
    <n v="0"/>
    <n v="0"/>
    <n v="0"/>
    <n v="0"/>
    <d v="1899-12-30T04:30:00"/>
    <n v="39"/>
    <n v="0"/>
    <n v="483600"/>
    <n v="0"/>
  </r>
  <r>
    <s v="TRX025"/>
    <d v="2026-02-12T00:00:00"/>
    <s v="PRD010"/>
    <x v="3"/>
    <x v="3"/>
    <s v="Inbound"/>
    <n v="83"/>
    <x v="3"/>
    <x v="2"/>
    <n v="13900"/>
    <n v="0"/>
    <n v="5.7"/>
    <x v="0"/>
    <x v="1"/>
    <n v="1153700"/>
    <n v="83"/>
    <n v="83"/>
    <n v="0"/>
    <n v="0"/>
    <n v="0"/>
    <n v="0"/>
    <d v="1899-12-30T05:42:00"/>
    <n v="83"/>
    <n v="0"/>
    <n v="1153700"/>
    <n v="0"/>
  </r>
  <r>
    <s v="TRX026"/>
    <d v="2026-02-13T00:00:00"/>
    <s v="PRD012"/>
    <x v="4"/>
    <x v="0"/>
    <s v="Outbound"/>
    <n v="53"/>
    <x v="0"/>
    <x v="0"/>
    <n v="54500"/>
    <n v="0"/>
    <n v="4.7"/>
    <x v="0"/>
    <x v="1"/>
    <n v="2888500"/>
    <n v="53"/>
    <n v="-53"/>
    <n v="0"/>
    <n v="0"/>
    <n v="0"/>
    <n v="0"/>
    <d v="1899-12-30T04:42:00"/>
    <n v="0"/>
    <n v="53"/>
    <n v="0"/>
    <n v="2888500"/>
  </r>
  <r>
    <s v="TRX027"/>
    <d v="2026-02-17T00:00:00"/>
    <s v="PRD013"/>
    <x v="0"/>
    <x v="0"/>
    <s v="Outbound"/>
    <n v="25"/>
    <x v="0"/>
    <x v="0"/>
    <n v="6500"/>
    <n v="0"/>
    <n v="4.5999999999999996"/>
    <x v="0"/>
    <x v="1"/>
    <n v="162500"/>
    <n v="25"/>
    <n v="-25"/>
    <n v="0"/>
    <n v="0"/>
    <n v="0"/>
    <n v="0"/>
    <d v="1899-12-30T04:36:00"/>
    <n v="0"/>
    <n v="25"/>
    <n v="0"/>
    <n v="162500"/>
  </r>
  <r>
    <s v="TRX028"/>
    <d v="2026-02-17T00:00:00"/>
    <s v="PRD012"/>
    <x v="4"/>
    <x v="0"/>
    <s v="Inbound"/>
    <n v="100"/>
    <x v="0"/>
    <x v="0"/>
    <n v="54500"/>
    <n v="0"/>
    <n v="3.3"/>
    <x v="0"/>
    <x v="1"/>
    <n v="5450000"/>
    <n v="100"/>
    <n v="100"/>
    <n v="0"/>
    <n v="0"/>
    <n v="0"/>
    <n v="0"/>
    <d v="1899-12-30T03:18:00"/>
    <n v="100"/>
    <n v="0"/>
    <n v="5450000"/>
    <n v="0"/>
  </r>
  <r>
    <s v="TRX029"/>
    <d v="2026-02-18T00:00:00"/>
    <s v="PRD015"/>
    <x v="8"/>
    <x v="0"/>
    <s v="Outbound"/>
    <n v="80"/>
    <x v="0"/>
    <x v="6"/>
    <n v="12400"/>
    <n v="0"/>
    <n v="2.5"/>
    <x v="0"/>
    <x v="1"/>
    <n v="992000"/>
    <n v="80"/>
    <n v="-80"/>
    <n v="0"/>
    <n v="0"/>
    <n v="0"/>
    <n v="0"/>
    <d v="1899-12-30T02:30:00"/>
    <n v="0"/>
    <n v="80"/>
    <n v="0"/>
    <n v="992000"/>
  </r>
  <r>
    <s v="TRX030"/>
    <d v="2026-02-19T00:00:00"/>
    <s v="PRD016"/>
    <x v="11"/>
    <x v="2"/>
    <s v="Inbound"/>
    <n v="99"/>
    <x v="2"/>
    <x v="6"/>
    <n v="36500"/>
    <n v="3"/>
    <n v="5.6"/>
    <x v="0"/>
    <x v="1"/>
    <n v="3613500"/>
    <n v="96"/>
    <n v="99"/>
    <n v="3.0303030303030304E-2"/>
    <n v="0"/>
    <n v="0"/>
    <n v="0"/>
    <d v="1899-12-30T05:36:00"/>
    <n v="99"/>
    <n v="0"/>
    <n v="3613500"/>
    <n v="0"/>
  </r>
  <r>
    <s v="TRX031"/>
    <d v="2026-02-21T00:00:00"/>
    <s v="PRD012"/>
    <x v="4"/>
    <x v="0"/>
    <s v="Outbound"/>
    <n v="53"/>
    <x v="0"/>
    <x v="0"/>
    <n v="54500"/>
    <n v="0"/>
    <n v="3.5"/>
    <x v="0"/>
    <x v="1"/>
    <n v="2888500"/>
    <n v="53"/>
    <n v="-53"/>
    <n v="0"/>
    <n v="0"/>
    <n v="0"/>
    <n v="0"/>
    <d v="1899-12-30T03:30:00"/>
    <n v="0"/>
    <n v="53"/>
    <n v="0"/>
    <n v="2888500"/>
  </r>
  <r>
    <s v="TRX032"/>
    <d v="2026-02-22T00:00:00"/>
    <s v="PRD005"/>
    <x v="10"/>
    <x v="4"/>
    <s v="Outbound"/>
    <n v="56"/>
    <x v="4"/>
    <x v="7"/>
    <n v="3100"/>
    <n v="0"/>
    <n v="6.3"/>
    <x v="0"/>
    <x v="1"/>
    <n v="173600"/>
    <n v="56"/>
    <n v="-56"/>
    <n v="0"/>
    <n v="0"/>
    <n v="0"/>
    <n v="0"/>
    <d v="1899-12-30T06:18:00"/>
    <n v="0"/>
    <n v="56"/>
    <n v="0"/>
    <n v="173600"/>
  </r>
  <r>
    <s v="TRX033"/>
    <d v="2026-02-23T00:00:00"/>
    <s v="PRD006"/>
    <x v="12"/>
    <x v="4"/>
    <s v="Inbound"/>
    <n v="72"/>
    <x v="4"/>
    <x v="3"/>
    <n v="14500"/>
    <n v="0"/>
    <n v="9.6999999999999993"/>
    <x v="2"/>
    <x v="1"/>
    <n v="1044000"/>
    <n v="72"/>
    <n v="72"/>
    <n v="0"/>
    <n v="0"/>
    <n v="1"/>
    <n v="1"/>
    <d v="1899-12-30T09:42:00"/>
    <n v="72"/>
    <n v="0"/>
    <n v="1044000"/>
    <n v="0"/>
  </r>
  <r>
    <s v="TRX034"/>
    <d v="2026-02-26T00:00:00"/>
    <s v="PRD014"/>
    <x v="9"/>
    <x v="0"/>
    <s v="Inbound"/>
    <n v="99"/>
    <x v="0"/>
    <x v="6"/>
    <n v="7800"/>
    <n v="0"/>
    <n v="4.5"/>
    <x v="0"/>
    <x v="1"/>
    <n v="772200"/>
    <n v="99"/>
    <n v="99"/>
    <n v="0"/>
    <n v="0"/>
    <n v="0"/>
    <n v="0"/>
    <d v="1899-12-30T04:30:00"/>
    <n v="99"/>
    <n v="0"/>
    <n v="772200"/>
    <n v="0"/>
  </r>
  <r>
    <s v="TRX035"/>
    <d v="2026-03-03T00:00:00"/>
    <s v="PRD005"/>
    <x v="10"/>
    <x v="4"/>
    <s v="Inbound"/>
    <n v="33"/>
    <x v="4"/>
    <x v="7"/>
    <n v="3100"/>
    <n v="0"/>
    <n v="2.2000000000000002"/>
    <x v="0"/>
    <x v="2"/>
    <n v="102300"/>
    <n v="33"/>
    <n v="33"/>
    <n v="0"/>
    <n v="0"/>
    <n v="0"/>
    <n v="0"/>
    <d v="1899-12-30T02:12:00"/>
    <n v="33"/>
    <n v="0"/>
    <n v="102300"/>
    <n v="0"/>
  </r>
  <r>
    <s v="TRX036"/>
    <d v="2026-03-03T00:00:00"/>
    <s v="PRD001"/>
    <x v="6"/>
    <x v="1"/>
    <s v="Outbound"/>
    <n v="92"/>
    <x v="1"/>
    <x v="4"/>
    <n v="3200"/>
    <n v="0"/>
    <n v="6.3"/>
    <x v="0"/>
    <x v="2"/>
    <n v="294400"/>
    <n v="92"/>
    <n v="-92"/>
    <n v="0"/>
    <n v="0"/>
    <n v="0"/>
    <n v="0"/>
    <d v="1899-12-30T06:18:00"/>
    <n v="0"/>
    <n v="92"/>
    <n v="0"/>
    <n v="294400"/>
  </r>
  <r>
    <s v="TRX037"/>
    <d v="2026-03-04T00:00:00"/>
    <s v="PRD012"/>
    <x v="4"/>
    <x v="0"/>
    <s v="Inbound"/>
    <n v="92"/>
    <x v="0"/>
    <x v="0"/>
    <n v="54500"/>
    <n v="0"/>
    <n v="1.8"/>
    <x v="0"/>
    <x v="2"/>
    <n v="5014000"/>
    <n v="92"/>
    <n v="92"/>
    <n v="0"/>
    <n v="0"/>
    <n v="0"/>
    <n v="0"/>
    <d v="1899-12-30T01:48:00"/>
    <n v="92"/>
    <n v="0"/>
    <n v="5014000"/>
    <n v="0"/>
  </r>
  <r>
    <s v="TRX038"/>
    <d v="2026-03-06T00:00:00"/>
    <s v="PRD018"/>
    <x v="13"/>
    <x v="2"/>
    <s v="Inbound"/>
    <n v="36"/>
    <x v="2"/>
    <x v="6"/>
    <n v="23800"/>
    <n v="0"/>
    <n v="3.9"/>
    <x v="0"/>
    <x v="2"/>
    <n v="856800"/>
    <n v="36"/>
    <n v="36"/>
    <n v="0"/>
    <n v="0"/>
    <n v="0"/>
    <n v="0"/>
    <d v="1899-12-30T03:54:00"/>
    <n v="36"/>
    <n v="0"/>
    <n v="856800"/>
    <n v="0"/>
  </r>
  <r>
    <s v="TRX039"/>
    <d v="2026-03-07T00:00:00"/>
    <s v="PRD007"/>
    <x v="5"/>
    <x v="4"/>
    <s v="Inbound"/>
    <n v="18"/>
    <x v="4"/>
    <x v="3"/>
    <n v="17200"/>
    <n v="0"/>
    <n v="6.3"/>
    <x v="0"/>
    <x v="2"/>
    <n v="309600"/>
    <n v="18"/>
    <n v="18"/>
    <n v="0"/>
    <n v="0"/>
    <n v="0"/>
    <n v="0"/>
    <d v="1899-12-30T06:18:00"/>
    <n v="18"/>
    <n v="0"/>
    <n v="309600"/>
    <n v="0"/>
  </r>
  <r>
    <s v="TRX040"/>
    <d v="2026-03-09T00:00:00"/>
    <s v="PRD018"/>
    <x v="13"/>
    <x v="2"/>
    <s v="Outbound"/>
    <n v="88"/>
    <x v="2"/>
    <x v="6"/>
    <n v="23800"/>
    <n v="5"/>
    <n v="6.2"/>
    <x v="2"/>
    <x v="2"/>
    <n v="2094400"/>
    <n v="83"/>
    <n v="-88"/>
    <n v="5.6818181818181816E-2"/>
    <n v="0"/>
    <n v="1"/>
    <n v="0"/>
    <d v="1899-12-30T06:12:00"/>
    <n v="0"/>
    <n v="88"/>
    <n v="0"/>
    <n v="2094400"/>
  </r>
  <r>
    <s v="TRX041"/>
    <d v="2026-03-14T00:00:00"/>
    <s v="PRD016"/>
    <x v="11"/>
    <x v="2"/>
    <s v="Inbound"/>
    <n v="56"/>
    <x v="2"/>
    <x v="6"/>
    <n v="36500"/>
    <n v="0"/>
    <n v="2.7"/>
    <x v="0"/>
    <x v="2"/>
    <n v="2044000"/>
    <n v="56"/>
    <n v="56"/>
    <n v="0"/>
    <n v="0"/>
    <n v="0"/>
    <n v="0"/>
    <d v="1899-12-30T02:42:00"/>
    <n v="56"/>
    <n v="0"/>
    <n v="2044000"/>
    <n v="0"/>
  </r>
  <r>
    <s v="TRX042"/>
    <d v="2026-03-14T00:00:00"/>
    <s v="PRD012"/>
    <x v="4"/>
    <x v="0"/>
    <s v="Outbound"/>
    <n v="13"/>
    <x v="0"/>
    <x v="0"/>
    <n v="54500"/>
    <n v="0"/>
    <n v="5.2"/>
    <x v="0"/>
    <x v="2"/>
    <n v="708500"/>
    <n v="13"/>
    <n v="-13"/>
    <n v="0"/>
    <n v="0"/>
    <n v="0"/>
    <n v="0"/>
    <d v="1899-12-30T05:12:00"/>
    <n v="0"/>
    <n v="13"/>
    <n v="0"/>
    <n v="708500"/>
  </r>
  <r>
    <s v="TRX043"/>
    <d v="2026-03-15T00:00:00"/>
    <s v="PRD016"/>
    <x v="11"/>
    <x v="2"/>
    <s v="Outbound"/>
    <n v="81"/>
    <x v="2"/>
    <x v="6"/>
    <n v="36500"/>
    <n v="5"/>
    <n v="6.7"/>
    <x v="2"/>
    <x v="2"/>
    <n v="2956500"/>
    <n v="76"/>
    <n v="-81"/>
    <n v="6.1728395061728392E-2"/>
    <n v="0"/>
    <n v="1"/>
    <n v="0"/>
    <d v="1899-12-30T06:42:00"/>
    <n v="0"/>
    <n v="81"/>
    <n v="0"/>
    <n v="2956500"/>
  </r>
  <r>
    <s v="TRX044"/>
    <d v="2026-03-15T00:00:00"/>
    <s v="PRD011"/>
    <x v="14"/>
    <x v="3"/>
    <s v="Outbound"/>
    <n v="26"/>
    <x v="3"/>
    <x v="2"/>
    <n v="28500"/>
    <n v="0"/>
    <n v="10.7"/>
    <x v="2"/>
    <x v="2"/>
    <n v="741000"/>
    <n v="26"/>
    <n v="-26"/>
    <n v="0"/>
    <n v="0"/>
    <n v="1"/>
    <n v="1"/>
    <d v="1899-12-30T10:42:00"/>
    <n v="0"/>
    <n v="26"/>
    <n v="0"/>
    <n v="741000"/>
  </r>
  <r>
    <s v="TRX045"/>
    <d v="2026-03-16T00:00:00"/>
    <s v="PRD018"/>
    <x v="13"/>
    <x v="2"/>
    <s v="Outbound"/>
    <n v="82"/>
    <x v="2"/>
    <x v="6"/>
    <n v="23800"/>
    <n v="0"/>
    <n v="2.2000000000000002"/>
    <x v="0"/>
    <x v="2"/>
    <n v="1951600"/>
    <n v="82"/>
    <n v="-82"/>
    <n v="0"/>
    <n v="0"/>
    <n v="0"/>
    <n v="0"/>
    <d v="1899-12-30T02:12:00"/>
    <n v="0"/>
    <n v="82"/>
    <n v="0"/>
    <n v="1951600"/>
  </r>
  <r>
    <s v="TRX046"/>
    <d v="2026-03-20T00:00:00"/>
    <s v="PRD015"/>
    <x v="8"/>
    <x v="0"/>
    <s v="Outbound"/>
    <n v="97"/>
    <x v="0"/>
    <x v="6"/>
    <n v="12400"/>
    <n v="0"/>
    <n v="5.8"/>
    <x v="0"/>
    <x v="2"/>
    <n v="1202800"/>
    <n v="97"/>
    <n v="-97"/>
    <n v="0"/>
    <n v="0"/>
    <n v="0"/>
    <n v="0"/>
    <d v="1899-12-30T05:48:00"/>
    <n v="0"/>
    <n v="97"/>
    <n v="0"/>
    <n v="1202800"/>
  </r>
  <r>
    <s v="TRX047"/>
    <d v="2026-03-21T00:00:00"/>
    <s v="PRD018"/>
    <x v="13"/>
    <x v="2"/>
    <s v="Inbound"/>
    <n v="52"/>
    <x v="2"/>
    <x v="6"/>
    <n v="23800"/>
    <n v="0"/>
    <n v="5.2"/>
    <x v="0"/>
    <x v="2"/>
    <n v="1237600"/>
    <n v="52"/>
    <n v="52"/>
    <n v="0"/>
    <n v="0"/>
    <n v="0"/>
    <n v="0"/>
    <d v="1899-12-30T05:12:00"/>
    <n v="52"/>
    <n v="0"/>
    <n v="1237600"/>
    <n v="0"/>
  </r>
  <r>
    <s v="TRX048"/>
    <d v="2026-03-24T00:00:00"/>
    <s v="PRD013"/>
    <x v="0"/>
    <x v="0"/>
    <s v="Inbound"/>
    <n v="68"/>
    <x v="0"/>
    <x v="0"/>
    <n v="6500"/>
    <n v="1"/>
    <n v="8.3000000000000007"/>
    <x v="1"/>
    <x v="2"/>
    <n v="442000"/>
    <n v="67"/>
    <n v="68"/>
    <n v="1.4705882352941176E-2"/>
    <n v="1"/>
    <n v="0"/>
    <n v="1"/>
    <d v="1899-12-30T08:18:00"/>
    <n v="68"/>
    <n v="0"/>
    <n v="442000"/>
    <n v="0"/>
  </r>
  <r>
    <s v="TRX049"/>
    <d v="2026-03-25T00:00:00"/>
    <s v="PRD008"/>
    <x v="15"/>
    <x v="3"/>
    <s v="Outbound"/>
    <n v="10"/>
    <x v="3"/>
    <x v="5"/>
    <n v="16800"/>
    <n v="0"/>
    <n v="4.5999999999999996"/>
    <x v="0"/>
    <x v="2"/>
    <n v="168000"/>
    <n v="10"/>
    <n v="-10"/>
    <n v="0"/>
    <n v="0"/>
    <n v="0"/>
    <n v="0"/>
    <d v="1899-12-30T04:36:00"/>
    <n v="0"/>
    <n v="10"/>
    <n v="0"/>
    <n v="168000"/>
  </r>
  <r>
    <s v="TRX050"/>
    <d v="2026-03-27T00:00:00"/>
    <s v="PRD011"/>
    <x v="14"/>
    <x v="3"/>
    <s v="Inbound"/>
    <n v="79"/>
    <x v="3"/>
    <x v="2"/>
    <n v="28500"/>
    <n v="0"/>
    <n v="12.9"/>
    <x v="2"/>
    <x v="2"/>
    <n v="2251500"/>
    <n v="79"/>
    <n v="79"/>
    <n v="0"/>
    <n v="0"/>
    <n v="1"/>
    <n v="1"/>
    <d v="1899-12-30T12:54:00"/>
    <n v="79"/>
    <n v="0"/>
    <n v="2251500"/>
    <n v="0"/>
  </r>
  <r>
    <s v="TRX051"/>
    <d v="2026-04-02T00:00:00"/>
    <s v="PRD011"/>
    <x v="14"/>
    <x v="3"/>
    <s v="Outbound"/>
    <n v="72"/>
    <x v="3"/>
    <x v="2"/>
    <n v="28500"/>
    <n v="4"/>
    <n v="10.1"/>
    <x v="1"/>
    <x v="3"/>
    <n v="2052000"/>
    <n v="68"/>
    <n v="-72"/>
    <n v="5.5555555555555552E-2"/>
    <n v="1"/>
    <n v="0"/>
    <n v="1"/>
    <d v="1899-12-30T10:06:00"/>
    <n v="0"/>
    <n v="72"/>
    <n v="0"/>
    <n v="2052000"/>
  </r>
  <r>
    <s v="TRX052"/>
    <d v="2026-04-03T00:00:00"/>
    <s v="PRD001"/>
    <x v="6"/>
    <x v="1"/>
    <s v="Outbound"/>
    <n v="49"/>
    <x v="1"/>
    <x v="4"/>
    <n v="3200"/>
    <n v="0"/>
    <n v="1.3"/>
    <x v="0"/>
    <x v="3"/>
    <n v="156800"/>
    <n v="49"/>
    <n v="-49"/>
    <n v="0"/>
    <n v="0"/>
    <n v="0"/>
    <n v="0"/>
    <d v="1899-12-30T01:18:00"/>
    <n v="0"/>
    <n v="49"/>
    <n v="0"/>
    <n v="156800"/>
  </r>
  <r>
    <s v="TRX053"/>
    <d v="2026-04-04T00:00:00"/>
    <s v="PRD002"/>
    <x v="16"/>
    <x v="1"/>
    <s v="Outbound"/>
    <n v="71"/>
    <x v="1"/>
    <x v="4"/>
    <n v="18500"/>
    <n v="0"/>
    <n v="5.6"/>
    <x v="0"/>
    <x v="3"/>
    <n v="1313500"/>
    <n v="71"/>
    <n v="-71"/>
    <n v="0"/>
    <n v="0"/>
    <n v="0"/>
    <n v="0"/>
    <d v="1899-12-30T05:36:00"/>
    <n v="0"/>
    <n v="71"/>
    <n v="0"/>
    <n v="1313500"/>
  </r>
  <r>
    <s v="TRX054"/>
    <d v="2026-04-05T00:00:00"/>
    <s v="PRD008"/>
    <x v="15"/>
    <x v="3"/>
    <s v="Inbound"/>
    <n v="36"/>
    <x v="3"/>
    <x v="5"/>
    <n v="16800"/>
    <n v="1"/>
    <n v="5.7"/>
    <x v="2"/>
    <x v="3"/>
    <n v="604800"/>
    <n v="35"/>
    <n v="36"/>
    <n v="2.7777777777777776E-2"/>
    <n v="0"/>
    <n v="1"/>
    <n v="0"/>
    <d v="1899-12-30T05:42:00"/>
    <n v="36"/>
    <n v="0"/>
    <n v="604800"/>
    <n v="0"/>
  </r>
  <r>
    <s v="TRX055"/>
    <d v="2026-04-06T00:00:00"/>
    <s v="PRD002"/>
    <x v="16"/>
    <x v="1"/>
    <s v="Inbound"/>
    <n v="41"/>
    <x v="1"/>
    <x v="4"/>
    <n v="18500"/>
    <n v="0"/>
    <n v="4"/>
    <x v="0"/>
    <x v="3"/>
    <n v="758500"/>
    <n v="41"/>
    <n v="41"/>
    <n v="0"/>
    <n v="0"/>
    <n v="0"/>
    <n v="0"/>
    <d v="1899-12-30T04:00:00"/>
    <n v="41"/>
    <n v="0"/>
    <n v="758500"/>
    <n v="0"/>
  </r>
  <r>
    <s v="TRX056"/>
    <d v="2026-04-07T00:00:00"/>
    <s v="PRD002"/>
    <x v="16"/>
    <x v="1"/>
    <s v="Inbound"/>
    <n v="74"/>
    <x v="1"/>
    <x v="4"/>
    <n v="18500"/>
    <n v="0"/>
    <n v="5.3"/>
    <x v="0"/>
    <x v="3"/>
    <n v="1369000"/>
    <n v="74"/>
    <n v="74"/>
    <n v="0"/>
    <n v="0"/>
    <n v="0"/>
    <n v="0"/>
    <d v="1899-12-30T05:18:00"/>
    <n v="74"/>
    <n v="0"/>
    <n v="1369000"/>
    <n v="0"/>
  </r>
  <r>
    <s v="TRX057"/>
    <d v="2026-04-10T00:00:00"/>
    <s v="PRD001"/>
    <x v="6"/>
    <x v="1"/>
    <s v="Outbound"/>
    <n v="100"/>
    <x v="1"/>
    <x v="4"/>
    <n v="3200"/>
    <n v="0"/>
    <n v="2.6"/>
    <x v="0"/>
    <x v="3"/>
    <n v="320000"/>
    <n v="100"/>
    <n v="-100"/>
    <n v="0"/>
    <n v="0"/>
    <n v="0"/>
    <n v="0"/>
    <d v="1899-12-30T02:36:00"/>
    <n v="0"/>
    <n v="100"/>
    <n v="0"/>
    <n v="320000"/>
  </r>
  <r>
    <s v="TRX058"/>
    <d v="2026-04-13T00:00:00"/>
    <s v="PRD005"/>
    <x v="10"/>
    <x v="4"/>
    <s v="Inbound"/>
    <n v="52"/>
    <x v="4"/>
    <x v="7"/>
    <n v="3100"/>
    <n v="4"/>
    <n v="7.6"/>
    <x v="1"/>
    <x v="3"/>
    <n v="161200"/>
    <n v="48"/>
    <n v="52"/>
    <n v="7.6923076923076927E-2"/>
    <n v="1"/>
    <n v="0"/>
    <n v="0"/>
    <d v="1899-12-30T07:36:00"/>
    <n v="52"/>
    <n v="0"/>
    <n v="161200"/>
    <n v="0"/>
  </r>
  <r>
    <s v="TRX059"/>
    <d v="2026-04-17T00:00:00"/>
    <s v="PRD006"/>
    <x v="12"/>
    <x v="4"/>
    <s v="Inbound"/>
    <n v="58"/>
    <x v="4"/>
    <x v="3"/>
    <n v="14500"/>
    <n v="0"/>
    <n v="1.3"/>
    <x v="0"/>
    <x v="3"/>
    <n v="841000"/>
    <n v="58"/>
    <n v="58"/>
    <n v="0"/>
    <n v="0"/>
    <n v="0"/>
    <n v="0"/>
    <d v="1899-12-30T01:18:00"/>
    <n v="58"/>
    <n v="0"/>
    <n v="841000"/>
    <n v="0"/>
  </r>
  <r>
    <s v="TRX060"/>
    <d v="2026-04-17T00:00:00"/>
    <s v="PRD010"/>
    <x v="3"/>
    <x v="3"/>
    <s v="Inbound"/>
    <n v="15"/>
    <x v="3"/>
    <x v="2"/>
    <n v="13900"/>
    <n v="0"/>
    <n v="2.8"/>
    <x v="0"/>
    <x v="3"/>
    <n v="208500"/>
    <n v="15"/>
    <n v="15"/>
    <n v="0"/>
    <n v="0"/>
    <n v="0"/>
    <n v="0"/>
    <d v="1899-12-30T02:48:00"/>
    <n v="15"/>
    <n v="0"/>
    <n v="208500"/>
    <n v="0"/>
  </r>
  <r>
    <s v="TRX061"/>
    <d v="2026-04-19T00:00:00"/>
    <s v="PRD018"/>
    <x v="13"/>
    <x v="2"/>
    <s v="Outbound"/>
    <n v="67"/>
    <x v="2"/>
    <x v="6"/>
    <n v="23800"/>
    <n v="0"/>
    <n v="3.5"/>
    <x v="0"/>
    <x v="3"/>
    <n v="1594600"/>
    <n v="67"/>
    <n v="-67"/>
    <n v="0"/>
    <n v="0"/>
    <n v="0"/>
    <n v="0"/>
    <d v="1899-12-30T03:30:00"/>
    <n v="0"/>
    <n v="67"/>
    <n v="0"/>
    <n v="1594600"/>
  </r>
  <r>
    <s v="TRX062"/>
    <d v="2026-04-21T00:00:00"/>
    <s v="PRD010"/>
    <x v="3"/>
    <x v="3"/>
    <s v="Outbound"/>
    <n v="45"/>
    <x v="3"/>
    <x v="2"/>
    <n v="13900"/>
    <n v="0"/>
    <n v="5"/>
    <x v="0"/>
    <x v="3"/>
    <n v="625500"/>
    <n v="45"/>
    <n v="-45"/>
    <n v="0"/>
    <n v="0"/>
    <n v="0"/>
    <n v="0"/>
    <d v="1899-12-30T05:00:00"/>
    <n v="0"/>
    <n v="45"/>
    <n v="0"/>
    <n v="625500"/>
  </r>
  <r>
    <s v="TRX063"/>
    <d v="2026-04-21T00:00:00"/>
    <s v="PRD015"/>
    <x v="8"/>
    <x v="0"/>
    <s v="Inbound"/>
    <n v="77"/>
    <x v="0"/>
    <x v="6"/>
    <n v="12400"/>
    <n v="0"/>
    <n v="2.6"/>
    <x v="0"/>
    <x v="3"/>
    <n v="954800"/>
    <n v="77"/>
    <n v="77"/>
    <n v="0"/>
    <n v="0"/>
    <n v="0"/>
    <n v="0"/>
    <d v="1899-12-30T02:36:00"/>
    <n v="77"/>
    <n v="0"/>
    <n v="954800"/>
    <n v="0"/>
  </r>
  <r>
    <s v="TRX064"/>
    <d v="2026-04-22T00:00:00"/>
    <s v="PRD014"/>
    <x v="9"/>
    <x v="0"/>
    <s v="Inbound"/>
    <n v="70"/>
    <x v="0"/>
    <x v="6"/>
    <n v="7800"/>
    <n v="0"/>
    <n v="4.9000000000000004"/>
    <x v="0"/>
    <x v="3"/>
    <n v="546000"/>
    <n v="70"/>
    <n v="70"/>
    <n v="0"/>
    <n v="0"/>
    <n v="0"/>
    <n v="0"/>
    <d v="1899-12-30T04:54:00"/>
    <n v="70"/>
    <n v="0"/>
    <n v="546000"/>
    <n v="0"/>
  </r>
  <r>
    <s v="TRX065"/>
    <d v="2026-04-23T00:00:00"/>
    <s v="PRD015"/>
    <x v="8"/>
    <x v="0"/>
    <s v="Outbound"/>
    <n v="40"/>
    <x v="0"/>
    <x v="6"/>
    <n v="12400"/>
    <n v="0"/>
    <n v="5.8"/>
    <x v="0"/>
    <x v="3"/>
    <n v="496000"/>
    <n v="40"/>
    <n v="-40"/>
    <n v="0"/>
    <n v="0"/>
    <n v="0"/>
    <n v="0"/>
    <d v="1899-12-30T05:48:00"/>
    <n v="0"/>
    <n v="40"/>
    <n v="0"/>
    <n v="496000"/>
  </r>
  <r>
    <s v="TRX066"/>
    <d v="2026-04-24T00:00:00"/>
    <s v="PRD013"/>
    <x v="0"/>
    <x v="0"/>
    <s v="Inbound"/>
    <n v="65"/>
    <x v="0"/>
    <x v="0"/>
    <n v="6500"/>
    <n v="0"/>
    <n v="2.1"/>
    <x v="0"/>
    <x v="3"/>
    <n v="422500"/>
    <n v="65"/>
    <n v="65"/>
    <n v="0"/>
    <n v="0"/>
    <n v="0"/>
    <n v="0"/>
    <d v="1899-12-30T02:06:00"/>
    <n v="65"/>
    <n v="0"/>
    <n v="422500"/>
    <n v="0"/>
  </r>
  <r>
    <s v="TRX067"/>
    <d v="2026-04-27T00:00:00"/>
    <s v="PRD014"/>
    <x v="9"/>
    <x v="0"/>
    <s v="Outbound"/>
    <n v="24"/>
    <x v="0"/>
    <x v="6"/>
    <n v="7800"/>
    <n v="0"/>
    <n v="10.5"/>
    <x v="2"/>
    <x v="3"/>
    <n v="187200"/>
    <n v="24"/>
    <n v="-24"/>
    <n v="0"/>
    <n v="0"/>
    <n v="1"/>
    <n v="1"/>
    <d v="1899-12-30T10:30:00"/>
    <n v="0"/>
    <n v="24"/>
    <n v="0"/>
    <n v="187200"/>
  </r>
  <r>
    <s v="TRX068"/>
    <d v="2026-05-03T00:00:00"/>
    <s v="PRD006"/>
    <x v="12"/>
    <x v="4"/>
    <s v="Inbound"/>
    <n v="100"/>
    <x v="4"/>
    <x v="3"/>
    <n v="14500"/>
    <n v="2"/>
    <n v="4"/>
    <x v="0"/>
    <x v="4"/>
    <n v="1450000"/>
    <n v="98"/>
    <n v="100"/>
    <n v="0.02"/>
    <n v="0"/>
    <n v="0"/>
    <n v="0"/>
    <d v="1899-12-30T04:00:00"/>
    <n v="100"/>
    <n v="0"/>
    <n v="1450000"/>
    <n v="0"/>
  </r>
  <r>
    <s v="TRX069"/>
    <d v="2026-05-05T00:00:00"/>
    <s v="PRD018"/>
    <x v="13"/>
    <x v="2"/>
    <s v="Inbound"/>
    <n v="16"/>
    <x v="2"/>
    <x v="6"/>
    <n v="23800"/>
    <n v="0"/>
    <n v="10"/>
    <x v="1"/>
    <x v="4"/>
    <n v="380800"/>
    <n v="16"/>
    <n v="16"/>
    <n v="0"/>
    <n v="1"/>
    <n v="0"/>
    <n v="1"/>
    <d v="1899-12-30T10:00:00"/>
    <n v="16"/>
    <n v="0"/>
    <n v="380800"/>
    <n v="0"/>
  </r>
  <r>
    <s v="TRX070"/>
    <d v="2026-05-06T00:00:00"/>
    <s v="PRD017"/>
    <x v="2"/>
    <x v="2"/>
    <s v="Outbound"/>
    <n v="45"/>
    <x v="2"/>
    <x v="0"/>
    <n v="68500"/>
    <n v="0"/>
    <n v="2.7"/>
    <x v="0"/>
    <x v="4"/>
    <n v="3082500"/>
    <n v="45"/>
    <n v="-45"/>
    <n v="0"/>
    <n v="0"/>
    <n v="0"/>
    <n v="0"/>
    <d v="1899-12-30T02:42:00"/>
    <n v="0"/>
    <n v="45"/>
    <n v="0"/>
    <n v="3082500"/>
  </r>
  <r>
    <s v="TRX071"/>
    <d v="2026-05-07T00:00:00"/>
    <s v="PRD004"/>
    <x v="17"/>
    <x v="4"/>
    <s v="Inbound"/>
    <n v="21"/>
    <x v="4"/>
    <x v="7"/>
    <n v="9800"/>
    <n v="0"/>
    <n v="17"/>
    <x v="1"/>
    <x v="4"/>
    <n v="205800"/>
    <n v="21"/>
    <n v="21"/>
    <n v="0"/>
    <n v="1"/>
    <n v="0"/>
    <n v="1"/>
    <d v="1899-12-30T17:00:00"/>
    <n v="21"/>
    <n v="0"/>
    <n v="205800"/>
    <n v="0"/>
  </r>
  <r>
    <s v="TRX072"/>
    <d v="2026-05-07T00:00:00"/>
    <s v="PRD009"/>
    <x v="7"/>
    <x v="3"/>
    <s v="Outbound"/>
    <n v="44"/>
    <x v="3"/>
    <x v="5"/>
    <n v="22400"/>
    <n v="0"/>
    <n v="6.3"/>
    <x v="0"/>
    <x v="4"/>
    <n v="985600"/>
    <n v="44"/>
    <n v="-44"/>
    <n v="0"/>
    <n v="0"/>
    <n v="0"/>
    <n v="0"/>
    <d v="1899-12-30T06:18:00"/>
    <n v="0"/>
    <n v="44"/>
    <n v="0"/>
    <n v="985600"/>
  </r>
  <r>
    <s v="TRX073"/>
    <d v="2026-05-07T00:00:00"/>
    <s v="PRD008"/>
    <x v="15"/>
    <x v="3"/>
    <s v="Outbound"/>
    <n v="22"/>
    <x v="3"/>
    <x v="5"/>
    <n v="16800"/>
    <n v="0"/>
    <n v="4.5"/>
    <x v="0"/>
    <x v="4"/>
    <n v="369600"/>
    <n v="22"/>
    <n v="-22"/>
    <n v="0"/>
    <n v="0"/>
    <n v="0"/>
    <n v="0"/>
    <d v="1899-12-30T04:30:00"/>
    <n v="0"/>
    <n v="22"/>
    <n v="0"/>
    <n v="369600"/>
  </r>
  <r>
    <s v="TRX074"/>
    <d v="2026-05-10T00:00:00"/>
    <s v="PRD008"/>
    <x v="15"/>
    <x v="3"/>
    <s v="Outbound"/>
    <n v="23"/>
    <x v="3"/>
    <x v="5"/>
    <n v="16800"/>
    <n v="0"/>
    <n v="5.2"/>
    <x v="0"/>
    <x v="4"/>
    <n v="386400"/>
    <n v="23"/>
    <n v="-23"/>
    <n v="0"/>
    <n v="0"/>
    <n v="0"/>
    <n v="0"/>
    <d v="1899-12-30T05:12:00"/>
    <n v="0"/>
    <n v="23"/>
    <n v="0"/>
    <n v="386400"/>
  </r>
  <r>
    <s v="TRX075"/>
    <d v="2026-05-11T00:00:00"/>
    <s v="PRD014"/>
    <x v="9"/>
    <x v="0"/>
    <s v="Outbound"/>
    <n v="44"/>
    <x v="0"/>
    <x v="6"/>
    <n v="7800"/>
    <n v="0"/>
    <n v="3.8"/>
    <x v="0"/>
    <x v="4"/>
    <n v="343200"/>
    <n v="44"/>
    <n v="-44"/>
    <n v="0"/>
    <n v="0"/>
    <n v="0"/>
    <n v="0"/>
    <d v="1899-12-30T03:48:00"/>
    <n v="0"/>
    <n v="44"/>
    <n v="0"/>
    <n v="343200"/>
  </r>
  <r>
    <s v="TRX076"/>
    <d v="2026-05-12T00:00:00"/>
    <s v="PRD003"/>
    <x v="1"/>
    <x v="1"/>
    <s v="Outbound"/>
    <n v="20"/>
    <x v="1"/>
    <x v="1"/>
    <n v="11200"/>
    <n v="0"/>
    <n v="3.3"/>
    <x v="0"/>
    <x v="4"/>
    <n v="224000"/>
    <n v="20"/>
    <n v="-20"/>
    <n v="0"/>
    <n v="0"/>
    <n v="0"/>
    <n v="0"/>
    <d v="1899-12-30T03:18:00"/>
    <n v="0"/>
    <n v="20"/>
    <n v="0"/>
    <n v="224000"/>
  </r>
  <r>
    <s v="TRX077"/>
    <d v="2026-05-14T00:00:00"/>
    <s v="PRD008"/>
    <x v="15"/>
    <x v="3"/>
    <s v="Inbound"/>
    <n v="19"/>
    <x v="3"/>
    <x v="5"/>
    <n v="16800"/>
    <n v="0"/>
    <n v="5.8"/>
    <x v="0"/>
    <x v="4"/>
    <n v="319200"/>
    <n v="19"/>
    <n v="19"/>
    <n v="0"/>
    <n v="0"/>
    <n v="0"/>
    <n v="0"/>
    <d v="1899-12-30T05:48:00"/>
    <n v="19"/>
    <n v="0"/>
    <n v="319200"/>
    <n v="0"/>
  </r>
  <r>
    <s v="TRX078"/>
    <d v="2026-05-14T00:00:00"/>
    <s v="PRD005"/>
    <x v="10"/>
    <x v="4"/>
    <s v="Inbound"/>
    <n v="71"/>
    <x v="4"/>
    <x v="7"/>
    <n v="3100"/>
    <n v="0"/>
    <n v="4.2"/>
    <x v="0"/>
    <x v="4"/>
    <n v="220100"/>
    <n v="71"/>
    <n v="71"/>
    <n v="0"/>
    <n v="0"/>
    <n v="0"/>
    <n v="0"/>
    <d v="1899-12-30T04:12:00"/>
    <n v="71"/>
    <n v="0"/>
    <n v="220100"/>
    <n v="0"/>
  </r>
  <r>
    <s v="TRX079"/>
    <d v="2026-05-17T00:00:00"/>
    <s v="PRD015"/>
    <x v="8"/>
    <x v="0"/>
    <s v="Outbound"/>
    <n v="89"/>
    <x v="0"/>
    <x v="6"/>
    <n v="12400"/>
    <n v="0"/>
    <n v="15"/>
    <x v="1"/>
    <x v="4"/>
    <n v="1103600"/>
    <n v="89"/>
    <n v="-89"/>
    <n v="0"/>
    <n v="1"/>
    <n v="0"/>
    <n v="1"/>
    <d v="1899-12-30T15:00:00"/>
    <n v="0"/>
    <n v="89"/>
    <n v="0"/>
    <n v="1103600"/>
  </r>
  <r>
    <s v="TRX080"/>
    <d v="2026-05-22T00:00:00"/>
    <s v="PRD013"/>
    <x v="0"/>
    <x v="0"/>
    <s v="Outbound"/>
    <n v="72"/>
    <x v="0"/>
    <x v="0"/>
    <n v="6500"/>
    <n v="0"/>
    <n v="2.7"/>
    <x v="0"/>
    <x v="4"/>
    <n v="468000"/>
    <n v="72"/>
    <n v="-72"/>
    <n v="0"/>
    <n v="0"/>
    <n v="0"/>
    <n v="0"/>
    <d v="1899-12-30T02:42:00"/>
    <n v="0"/>
    <n v="72"/>
    <n v="0"/>
    <n v="468000"/>
  </r>
  <r>
    <s v="TRX081"/>
    <d v="2026-05-22T00:00:00"/>
    <s v="PRD009"/>
    <x v="7"/>
    <x v="3"/>
    <s v="Outbound"/>
    <n v="41"/>
    <x v="3"/>
    <x v="5"/>
    <n v="22400"/>
    <n v="0"/>
    <n v="6.4"/>
    <x v="0"/>
    <x v="4"/>
    <n v="918400"/>
    <n v="41"/>
    <n v="-41"/>
    <n v="0"/>
    <n v="0"/>
    <n v="0"/>
    <n v="0"/>
    <d v="1899-12-30T06:24:00"/>
    <n v="0"/>
    <n v="41"/>
    <n v="0"/>
    <n v="918400"/>
  </r>
  <r>
    <s v="TRX082"/>
    <d v="2026-05-25T00:00:00"/>
    <s v="PRD013"/>
    <x v="0"/>
    <x v="0"/>
    <s v="Inbound"/>
    <n v="28"/>
    <x v="0"/>
    <x v="0"/>
    <n v="6500"/>
    <n v="0"/>
    <n v="2.9"/>
    <x v="0"/>
    <x v="4"/>
    <n v="182000"/>
    <n v="28"/>
    <n v="28"/>
    <n v="0"/>
    <n v="0"/>
    <n v="0"/>
    <n v="0"/>
    <d v="1899-12-30T02:54:00"/>
    <n v="28"/>
    <n v="0"/>
    <n v="182000"/>
    <n v="0"/>
  </r>
  <r>
    <s v="TRX083"/>
    <d v="2026-05-26T00:00:00"/>
    <s v="PRD016"/>
    <x v="11"/>
    <x v="2"/>
    <s v="Outbound"/>
    <n v="91"/>
    <x v="2"/>
    <x v="6"/>
    <n v="36500"/>
    <n v="0"/>
    <n v="2.8"/>
    <x v="0"/>
    <x v="4"/>
    <n v="3321500"/>
    <n v="91"/>
    <n v="-91"/>
    <n v="0"/>
    <n v="0"/>
    <n v="0"/>
    <n v="0"/>
    <d v="1899-12-30T02:48:00"/>
    <n v="0"/>
    <n v="91"/>
    <n v="0"/>
    <n v="3321500"/>
  </r>
  <r>
    <s v="TRX084"/>
    <d v="2026-05-26T00:00:00"/>
    <s v="PRD015"/>
    <x v="8"/>
    <x v="0"/>
    <s v="Outbound"/>
    <n v="76"/>
    <x v="0"/>
    <x v="6"/>
    <n v="12400"/>
    <n v="0"/>
    <n v="4.0999999999999996"/>
    <x v="0"/>
    <x v="4"/>
    <n v="942400"/>
    <n v="76"/>
    <n v="-76"/>
    <n v="0"/>
    <n v="0"/>
    <n v="0"/>
    <n v="0"/>
    <d v="1899-12-30T04:06:00"/>
    <n v="0"/>
    <n v="76"/>
    <n v="0"/>
    <n v="942400"/>
  </r>
  <r>
    <s v="TRX085"/>
    <d v="2026-06-03T00:00:00"/>
    <s v="PRD011"/>
    <x v="14"/>
    <x v="3"/>
    <s v="Outbound"/>
    <n v="15"/>
    <x v="3"/>
    <x v="2"/>
    <n v="28500"/>
    <n v="0"/>
    <n v="2.1"/>
    <x v="0"/>
    <x v="5"/>
    <n v="427500"/>
    <n v="15"/>
    <n v="-15"/>
    <n v="0"/>
    <n v="0"/>
    <n v="0"/>
    <n v="0"/>
    <d v="1899-12-30T02:06:00"/>
    <n v="0"/>
    <n v="15"/>
    <n v="0"/>
    <n v="427500"/>
  </r>
  <r>
    <s v="TRX086"/>
    <d v="2026-06-07T00:00:00"/>
    <s v="PRD006"/>
    <x v="12"/>
    <x v="4"/>
    <s v="Inbound"/>
    <n v="100"/>
    <x v="4"/>
    <x v="3"/>
    <n v="14500"/>
    <n v="1"/>
    <n v="3.6"/>
    <x v="0"/>
    <x v="5"/>
    <n v="1450000"/>
    <n v="99"/>
    <n v="100"/>
    <n v="0.01"/>
    <n v="0"/>
    <n v="0"/>
    <n v="0"/>
    <d v="1899-12-30T03:36:00"/>
    <n v="100"/>
    <n v="0"/>
    <n v="1450000"/>
    <n v="0"/>
  </r>
  <r>
    <s v="TRX087"/>
    <d v="2026-06-08T00:00:00"/>
    <s v="PRD003"/>
    <x v="1"/>
    <x v="1"/>
    <s v="Outbound"/>
    <n v="40"/>
    <x v="1"/>
    <x v="1"/>
    <n v="11200"/>
    <n v="0"/>
    <n v="3.7"/>
    <x v="0"/>
    <x v="5"/>
    <n v="448000"/>
    <n v="40"/>
    <n v="-40"/>
    <n v="0"/>
    <n v="0"/>
    <n v="0"/>
    <n v="0"/>
    <d v="1899-12-30T03:42:00"/>
    <n v="0"/>
    <n v="40"/>
    <n v="0"/>
    <n v="448000"/>
  </r>
  <r>
    <s v="TRX088"/>
    <d v="2026-06-08T00:00:00"/>
    <s v="PRD003"/>
    <x v="1"/>
    <x v="1"/>
    <s v="Outbound"/>
    <n v="76"/>
    <x v="1"/>
    <x v="1"/>
    <n v="11200"/>
    <n v="0"/>
    <n v="1.7"/>
    <x v="0"/>
    <x v="5"/>
    <n v="851200"/>
    <n v="76"/>
    <n v="-76"/>
    <n v="0"/>
    <n v="0"/>
    <n v="0"/>
    <n v="0"/>
    <d v="1899-12-30T01:42:00"/>
    <n v="0"/>
    <n v="76"/>
    <n v="0"/>
    <n v="851200"/>
  </r>
  <r>
    <s v="TRX089"/>
    <d v="2026-06-10T00:00:00"/>
    <s v="PRD014"/>
    <x v="9"/>
    <x v="0"/>
    <s v="Inbound"/>
    <n v="67"/>
    <x v="0"/>
    <x v="6"/>
    <n v="7800"/>
    <n v="0"/>
    <n v="5.9"/>
    <x v="0"/>
    <x v="5"/>
    <n v="522600"/>
    <n v="67"/>
    <n v="67"/>
    <n v="0"/>
    <n v="0"/>
    <n v="0"/>
    <n v="0"/>
    <d v="1899-12-30T05:54:00"/>
    <n v="67"/>
    <n v="0"/>
    <n v="522600"/>
    <n v="0"/>
  </r>
  <r>
    <s v="TRX090"/>
    <d v="2026-06-12T00:00:00"/>
    <s v="PRD010"/>
    <x v="3"/>
    <x v="3"/>
    <s v="Outbound"/>
    <n v="69"/>
    <x v="3"/>
    <x v="2"/>
    <n v="13900"/>
    <n v="0"/>
    <n v="5"/>
    <x v="0"/>
    <x v="5"/>
    <n v="959100"/>
    <n v="69"/>
    <n v="-69"/>
    <n v="0"/>
    <n v="0"/>
    <n v="0"/>
    <n v="0"/>
    <d v="1899-12-30T05:00:00"/>
    <n v="0"/>
    <n v="69"/>
    <n v="0"/>
    <n v="959100"/>
  </r>
  <r>
    <s v="TRX091"/>
    <d v="2026-06-16T00:00:00"/>
    <s v="PRD017"/>
    <x v="2"/>
    <x v="2"/>
    <s v="Outbound"/>
    <n v="5"/>
    <x v="2"/>
    <x v="0"/>
    <n v="68500"/>
    <n v="0"/>
    <n v="5.8"/>
    <x v="0"/>
    <x v="5"/>
    <n v="342500"/>
    <n v="5"/>
    <n v="-5"/>
    <n v="0"/>
    <n v="0"/>
    <n v="0"/>
    <n v="0"/>
    <d v="1899-12-30T05:48:00"/>
    <n v="0"/>
    <n v="5"/>
    <n v="0"/>
    <n v="342500"/>
  </r>
  <r>
    <s v="TRX092"/>
    <d v="2026-06-17T00:00:00"/>
    <s v="PRD018"/>
    <x v="13"/>
    <x v="2"/>
    <s v="Inbound"/>
    <n v="65"/>
    <x v="2"/>
    <x v="6"/>
    <n v="23800"/>
    <n v="0"/>
    <n v="3.9"/>
    <x v="0"/>
    <x v="5"/>
    <n v="1547000"/>
    <n v="65"/>
    <n v="65"/>
    <n v="0"/>
    <n v="0"/>
    <n v="0"/>
    <n v="0"/>
    <d v="1899-12-30T03:54:00"/>
    <n v="65"/>
    <n v="0"/>
    <n v="1547000"/>
    <n v="0"/>
  </r>
  <r>
    <s v="TRX093"/>
    <d v="2026-06-19T00:00:00"/>
    <s v="PRD005"/>
    <x v="10"/>
    <x v="4"/>
    <s v="Inbound"/>
    <n v="65"/>
    <x v="4"/>
    <x v="7"/>
    <n v="3100"/>
    <n v="0"/>
    <n v="2.7"/>
    <x v="0"/>
    <x v="5"/>
    <n v="201500"/>
    <n v="65"/>
    <n v="65"/>
    <n v="0"/>
    <n v="0"/>
    <n v="0"/>
    <n v="0"/>
    <d v="1899-12-30T02:42:00"/>
    <n v="65"/>
    <n v="0"/>
    <n v="201500"/>
    <n v="0"/>
  </r>
  <r>
    <s v="TRX094"/>
    <d v="2026-06-19T00:00:00"/>
    <s v="PRD005"/>
    <x v="10"/>
    <x v="4"/>
    <s v="Inbound"/>
    <n v="94"/>
    <x v="4"/>
    <x v="7"/>
    <n v="3100"/>
    <n v="0"/>
    <n v="6.2"/>
    <x v="0"/>
    <x v="5"/>
    <n v="291400"/>
    <n v="94"/>
    <n v="94"/>
    <n v="0"/>
    <n v="0"/>
    <n v="0"/>
    <n v="0"/>
    <d v="1899-12-30T06:12:00"/>
    <n v="94"/>
    <n v="0"/>
    <n v="291400"/>
    <n v="0"/>
  </r>
  <r>
    <s v="TRX095"/>
    <d v="2026-06-20T00:00:00"/>
    <s v="PRD004"/>
    <x v="17"/>
    <x v="4"/>
    <s v="Outbound"/>
    <n v="72"/>
    <x v="4"/>
    <x v="7"/>
    <n v="9800"/>
    <n v="0"/>
    <n v="14"/>
    <x v="1"/>
    <x v="5"/>
    <n v="705600"/>
    <n v="72"/>
    <n v="-72"/>
    <n v="0"/>
    <n v="1"/>
    <n v="0"/>
    <n v="1"/>
    <d v="1899-12-30T14:00:00"/>
    <n v="0"/>
    <n v="72"/>
    <n v="0"/>
    <n v="705600"/>
  </r>
  <r>
    <s v="TRX096"/>
    <d v="2026-06-21T00:00:00"/>
    <s v="PRD007"/>
    <x v="5"/>
    <x v="4"/>
    <s v="Inbound"/>
    <n v="63"/>
    <x v="4"/>
    <x v="3"/>
    <n v="17200"/>
    <n v="0"/>
    <n v="1.7"/>
    <x v="0"/>
    <x v="5"/>
    <n v="1083600"/>
    <n v="63"/>
    <n v="63"/>
    <n v="0"/>
    <n v="0"/>
    <n v="0"/>
    <n v="0"/>
    <d v="1899-12-30T01:42:00"/>
    <n v="63"/>
    <n v="0"/>
    <n v="1083600"/>
    <n v="0"/>
  </r>
  <r>
    <s v="TRX097"/>
    <d v="2026-06-23T00:00:00"/>
    <s v="PRD007"/>
    <x v="5"/>
    <x v="4"/>
    <s v="Inbound"/>
    <n v="100"/>
    <x v="4"/>
    <x v="3"/>
    <n v="17200"/>
    <n v="0"/>
    <n v="5.5"/>
    <x v="0"/>
    <x v="5"/>
    <n v="1720000"/>
    <n v="100"/>
    <n v="100"/>
    <n v="0"/>
    <n v="0"/>
    <n v="0"/>
    <n v="0"/>
    <d v="1899-12-30T05:30:00"/>
    <n v="100"/>
    <n v="0"/>
    <n v="1720000"/>
    <n v="0"/>
  </r>
  <r>
    <s v="TRX098"/>
    <d v="2026-06-24T00:00:00"/>
    <s v="PRD015"/>
    <x v="8"/>
    <x v="0"/>
    <s v="Outbound"/>
    <n v="85"/>
    <x v="0"/>
    <x v="6"/>
    <n v="12400"/>
    <n v="0"/>
    <n v="5.3"/>
    <x v="0"/>
    <x v="5"/>
    <n v="1054000"/>
    <n v="85"/>
    <n v="-85"/>
    <n v="0"/>
    <n v="0"/>
    <n v="0"/>
    <n v="0"/>
    <d v="1899-12-30T05:18:00"/>
    <n v="0"/>
    <n v="85"/>
    <n v="0"/>
    <n v="1054000"/>
  </r>
  <r>
    <s v="TRX099"/>
    <d v="2026-06-27T00:00:00"/>
    <s v="PRD002"/>
    <x v="16"/>
    <x v="1"/>
    <s v="Outbound"/>
    <n v="82"/>
    <x v="1"/>
    <x v="4"/>
    <n v="18500"/>
    <n v="0"/>
    <n v="6.2"/>
    <x v="0"/>
    <x v="5"/>
    <n v="1517000"/>
    <n v="82"/>
    <n v="-82"/>
    <n v="0"/>
    <n v="0"/>
    <n v="0"/>
    <n v="0"/>
    <d v="1899-12-30T06:12:00"/>
    <n v="0"/>
    <n v="82"/>
    <n v="0"/>
    <n v="1517000"/>
  </r>
  <r>
    <s v="TRX100"/>
    <d v="2026-06-27T00:00:00"/>
    <s v="PRD011"/>
    <x v="14"/>
    <x v="3"/>
    <s v="Outbound"/>
    <n v="67"/>
    <x v="3"/>
    <x v="2"/>
    <n v="28500"/>
    <n v="5"/>
    <n v="5.5"/>
    <x v="0"/>
    <x v="5"/>
    <n v="1909500"/>
    <n v="62"/>
    <n v="-67"/>
    <n v="7.4626865671641784E-2"/>
    <n v="0"/>
    <n v="0"/>
    <n v="0"/>
    <d v="1899-12-30T05:30:00"/>
    <n v="0"/>
    <n v="67"/>
    <n v="0"/>
    <n v="1909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AA098-7E68-48C2-AC6C-7A9B848FBF4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7:E43" firstHeaderRow="0" firstDataRow="1" firstDataCol="1"/>
  <pivotFields count="28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dataField="1" compact="0" numFmtId="3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164" outline="0" showAll="0"/>
    <pivotField compact="0" outline="0" showAll="0"/>
    <pivotField compact="0" numFmtId="17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166" outline="0" showAll="0"/>
    <pivotField compact="0" numFmtId="3" outline="0" showAll="0"/>
    <pivotField compact="0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numFmtId="168" outline="0" showAll="0"/>
    <pivotField dataField="1" compact="0" outline="0" showAll="0"/>
    <pivotField dataField="1" compact="0" outline="0" showAll="0"/>
    <pivotField compact="0" numFmtId="166" outline="0" showAll="0"/>
    <pivotField compact="0" numFmtId="166" outline="0" showAl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Inbound_Qty" fld="22" baseField="0" baseItem="0"/>
    <dataField name="Sum of Outbound_Qty" fld="23" baseField="0" baseItem="0"/>
    <dataField name="Sum of Quantity" fld="6" baseField="0" baseItem="0"/>
    <dataField name="Sum of Transaction_Value" fld="14" baseField="0" baseItem="0"/>
  </dataFields>
  <formats count="1">
    <format dxfId="3">
      <pivotArea collapsedLevelsAreSubtotals="1" fieldPosition="0">
        <references count="2">
          <reference field="4294967294" count="1" selected="0">
            <x v="3"/>
          </reference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E796B-7E62-4E7F-9FB3-9C43ED59696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:E23" firstHeaderRow="0" firstDataRow="1" firstDataCol="2"/>
  <pivotFields count="2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sortType="descending" defaultSubtotal="0">
      <items count="18">
        <item x="6"/>
        <item x="13"/>
        <item x="17"/>
        <item x="9"/>
        <item x="7"/>
        <item x="2"/>
        <item x="4"/>
        <item x="16"/>
        <item x="8"/>
        <item x="11"/>
        <item x="10"/>
        <item x="5"/>
        <item x="3"/>
        <item x="0"/>
        <item x="15"/>
        <item x="12"/>
        <item x="1"/>
        <item x="1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5">
        <item x="0"/>
        <item x="2"/>
        <item x="3"/>
        <item x="4"/>
        <item x="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9">
    <i>
      <x v="8"/>
      <x/>
    </i>
    <i>
      <x v="10"/>
      <x v="3"/>
    </i>
    <i>
      <x v="9"/>
      <x v="1"/>
    </i>
    <i>
      <x v="3"/>
      <x/>
    </i>
    <i>
      <x v="1"/>
      <x v="1"/>
    </i>
    <i>
      <x v="6"/>
      <x/>
    </i>
    <i>
      <x v="13"/>
      <x/>
    </i>
    <i>
      <x v="16"/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nbound_Qty" fld="22" baseField="0" baseItem="0"/>
    <dataField name="Sum of Outbound_Qty" fld="23" baseField="0" baseItem="0"/>
    <dataField name="Sum of Quantity" fld="6" baseField="0" baseItem="0"/>
  </dataFields>
  <pivotTableStyleInfo name="PivotStyleLight16" showRowHeaders="1" showColHeaders="1" showRowStripes="0" showColStripes="0" showLastColumn="1"/>
  <filters count="1">
    <filter fld="3" type="count" evalOrder="-1" id="3" iMeasureFld="2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656B6-7EA3-4B5B-BB27-FEB5C3EC592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D77" firstHeaderRow="0" firstDataRow="1" firstDataCol="1"/>
  <pivotFields count="28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dataField="1" compact="0" numFmtId="164" outline="0" showAll="0"/>
    <pivotField axis="axisRow" compact="0" outline="0" showAll="0">
      <items count="4">
        <item x="0"/>
        <item x="1"/>
        <item x="2"/>
        <item t="default"/>
      </items>
    </pivotField>
    <pivotField compact="0" numFmtId="17" outline="0" showAll="0">
      <items count="7">
        <item x="0"/>
        <item x="1"/>
        <item x="2"/>
        <item x="3"/>
        <item x="4"/>
        <item x="5"/>
        <item t="default"/>
      </items>
    </pivotField>
    <pivotField compact="0" numFmtId="166" outline="0" showAll="0"/>
    <pivotField compact="0" numFmtId="3" outline="0" showAll="0"/>
    <pivotField compact="0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numFmtId="168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ransaction_ID" fld="0" subtotal="count" baseField="0" baseItem="0"/>
    <dataField name="Sum of Quantity" fld="6" baseField="0" baseItem="0"/>
    <dataField name="Average of Processing_Time_Hours" fld="11" subtotal="average" baseField="12" baseItem="0"/>
  </dataFields>
  <formats count="1">
    <format dxfId="4">
      <pivotArea collapsedLevelsAreSubtotals="1" fieldPosition="0">
        <references count="2">
          <reference field="4294967294" count="1" selected="0">
            <x v="2"/>
          </reference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7ADD5-E4AE-408D-85B9-FD88690F73A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J10" firstHeaderRow="0" firstDataRow="1" firstDataCol="3"/>
  <pivotFields count="28"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numFmtId="3" outline="0" showAll="0"/>
    <pivotField dataField="1" compact="0" numFmtId="3" outline="0" showAll="0"/>
    <pivotField dataField="1" compact="0" numFmtId="164" outline="0" showAll="0"/>
    <pivotField compact="0" outline="0" showAll="0"/>
    <pivotField axis="axisRow" compact="0" numFmtId="17" outline="0" showAll="0">
      <items count="7">
        <item x="0"/>
        <item x="1"/>
        <item x="2"/>
        <item x="3"/>
        <item x="4"/>
        <item x="5"/>
        <item t="default"/>
      </items>
    </pivotField>
    <pivotField compact="0" numFmtId="166" outline="0" showAll="0"/>
    <pivotField compact="0" numFmtId="3" outline="0" showAll="0"/>
    <pivotField compact="0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numFmtId="168" outline="0" showAll="0"/>
    <pivotField dataField="1" compact="0" outline="0" showAll="0"/>
    <pivotField dataField="1" compact="0" outline="0" showAll="0"/>
    <pivotField dataField="1" compact="0" numFmtId="166" outline="0" showAll="0"/>
    <pivotField dataField="1" compact="0" numFmtId="166" outline="0" showAll="0"/>
    <pivotField axis="axisRow"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7"/>
    <field x="26"/>
    <field x="1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Inbound_Qty" fld="22" baseField="0" baseItem="0"/>
    <dataField name="Sum of Outbound_Qty" fld="23" baseField="0" baseItem="0"/>
    <dataField name="Sum of Inbound_Value" fld="24" baseField="0" baseItem="0" numFmtId="166"/>
    <dataField name="Sum of Outbound_Value" fld="25" baseField="0" baseItem="0" numFmtId="166"/>
    <dataField name="Count of Product_ID" fld="2" subtotal="count" baseField="0" baseItem="0"/>
    <dataField name="Sum of Damaged_Qty" fld="10" baseField="0" baseItem="0"/>
    <dataField name="Average of Processing_Time_Hours" fld="11" subtotal="average" baseField="27" baseItem="4" numFmtId="164"/>
  </dataFields>
  <formats count="3">
    <format dxfId="7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5A1BE-042A-4D5B-910C-B7AC1EBED25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7:E66" firstHeaderRow="0" firstDataRow="1" firstDataCol="1"/>
  <pivotFields count="28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compact="0" outline="0" showAll="0"/>
    <pivotField axis="axisRow" compact="0" outline="0" showAll="0">
      <items count="9">
        <item x="4"/>
        <item x="1"/>
        <item x="7"/>
        <item x="3"/>
        <item x="5"/>
        <item x="2"/>
        <item x="0"/>
        <item x="6"/>
        <item t="default"/>
      </items>
    </pivotField>
    <pivotField compact="0" numFmtId="3" outline="0" showAll="0"/>
    <pivotField compact="0" numFmtId="3" outline="0" showAll="0"/>
    <pivotField compact="0" numFmtId="164" outline="0" showAll="0"/>
    <pivotField compact="0" outline="0" showAll="0"/>
    <pivotField compact="0" numFmtId="17" outline="0" showAll="0">
      <items count="7">
        <item x="0"/>
        <item x="1"/>
        <item x="2"/>
        <item x="3"/>
        <item x="4"/>
        <item x="5"/>
        <item t="default"/>
      </items>
    </pivotField>
    <pivotField compact="0" numFmtId="166" outline="0" showAll="0"/>
    <pivotField compact="0" numFmtId="3" outline="0" showAll="0"/>
    <pivotField compact="0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numFmtId="168" outline="0" showAll="0"/>
    <pivotField dataField="1" compact="0" outline="0" showAll="0"/>
    <pivotField dataField="1" compact="0" outline="0" showAll="0"/>
    <pivotField compact="0" numFmtId="166" outline="0" showAll="0"/>
    <pivotField compact="0" numFmtId="166" outline="0" showAl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Inbound_Qty" fld="22" baseField="0" baseItem="0"/>
    <dataField name="Sum of Outbound_Qty" fld="23" baseField="0" baseItem="0"/>
    <dataField name="Sum of Quantity" fld="6" baseField="0" baseItem="0"/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F2077-4B88-4979-9293-5B7D4FCAB11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7:E53" firstHeaderRow="0" firstDataRow="1" firstDataCol="1"/>
  <pivotFields count="28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axis="axisRow" compact="0" outline="0" showAll="0">
      <items count="6">
        <item x="4"/>
        <item x="0"/>
        <item x="3"/>
        <item x="2"/>
        <item x="1"/>
        <item t="default"/>
      </items>
    </pivotField>
    <pivotField compact="0" outline="0" showAll="0"/>
    <pivotField compact="0" numFmtId="3" outline="0" showAll="0"/>
    <pivotField dataField="1" compact="0" numFmtId="3" outline="0" showAll="0"/>
    <pivotField dataField="1" compact="0" numFmtId="164" outline="0" showAll="0"/>
    <pivotField compact="0" outline="0" showAll="0"/>
    <pivotField compact="0" numFmtId="17" outline="0" showAll="0">
      <items count="7">
        <item x="0"/>
        <item x="1"/>
        <item x="2"/>
        <item x="3"/>
        <item x="4"/>
        <item x="5"/>
        <item t="default"/>
      </items>
    </pivotField>
    <pivotField compact="0" numFmtId="166" outline="0" showAll="0"/>
    <pivotField compact="0" numFmtId="3" outline="0" showAll="0"/>
    <pivotField compact="0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numFmtId="168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ransaction_ID" fld="0" subtotal="count" baseField="0" baseItem="0"/>
    <dataField name="Sum of Quantity" fld="6" baseField="0" baseItem="0"/>
    <dataField name="Sum of Damaged_Qty" fld="10" baseField="0" baseItem="0"/>
    <dataField name="Average of Processing_Time_Hours" fld="11" subtotal="average" baseField="7" baseItem="0"/>
  </dataFields>
  <formats count="1">
    <format dxfId="8">
      <pivotArea collapsedLevelsAreSubtotals="1" fieldPosition="0">
        <references count="2">
          <reference field="4294967294" count="1" selected="0">
            <x v="3"/>
          </reference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arehouseTransactions" displayName="WarehouseTransactions" ref="A1:M101" totalsRowShown="0">
  <autoFilter ref="A1:M101" xr:uid="{00000000-0009-0000-0100-000001000000}"/>
  <tableColumns count="13">
    <tableColumn id="1" xr3:uid="{00000000-0010-0000-0000-000001000000}" name="Transaction_ID"/>
    <tableColumn id="2" xr3:uid="{00000000-0010-0000-0000-000002000000}" name="Date"/>
    <tableColumn id="3" xr3:uid="{00000000-0010-0000-0000-000003000000}" name="Product_ID"/>
    <tableColumn id="4" xr3:uid="{00000000-0010-0000-0000-000004000000}" name="Product_Name"/>
    <tableColumn id="5" xr3:uid="{00000000-0010-0000-0000-000005000000}" name="Category"/>
    <tableColumn id="6" xr3:uid="{00000000-0010-0000-0000-000006000000}" name="Transaction_Type"/>
    <tableColumn id="7" xr3:uid="{00000000-0010-0000-0000-000007000000}" name="Quantity"/>
    <tableColumn id="8" xr3:uid="{00000000-0010-0000-0000-000008000000}" name="Supplier"/>
    <tableColumn id="9" xr3:uid="{00000000-0010-0000-0000-000009000000}" name="Warehouse_Location"/>
    <tableColumn id="10" xr3:uid="{00000000-0010-0000-0000-00000A000000}" name="Unit_Cost"/>
    <tableColumn id="11" xr3:uid="{00000000-0010-0000-0000-00000B000000}" name="Damaged_Qty"/>
    <tableColumn id="12" xr3:uid="{00000000-0010-0000-0000-00000C000000}" name="Processing_Time_Hours"/>
    <tableColumn id="13" xr3:uid="{00000000-0010-0000-0000-00000D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D0E03-87D9-43A6-8D5D-68866CBFB0BB}" name="WarehouseTransactions3" displayName="WarehouseTransactions3" ref="A1:Z101" totalsRowShown="0">
  <autoFilter ref="A1:Z101" xr:uid="{9C8D0E03-87D9-43A6-8D5D-68866CBFB0BB}"/>
  <tableColumns count="26">
    <tableColumn id="1" xr3:uid="{6EDE202C-6364-473B-B9F0-646CAB2230D0}" name="Transaction_ID"/>
    <tableColumn id="2" xr3:uid="{B3FE5B56-233F-4FBE-85A5-D586F7E51D10}" name="Date"/>
    <tableColumn id="3" xr3:uid="{2C00081A-28A9-428C-926F-67282D6073C8}" name="Product_ID"/>
    <tableColumn id="4" xr3:uid="{AAD668BD-88FA-4A83-A180-052858CFE58E}" name="Product_Name"/>
    <tableColumn id="5" xr3:uid="{DE18C021-4168-4739-B5AF-3EEDF67BC167}" name="Category"/>
    <tableColumn id="6" xr3:uid="{124A75EC-963D-46EE-859B-D44194C4FD56}" name="Transaction_Type"/>
    <tableColumn id="7" xr3:uid="{EF9B80F5-00D5-4220-9132-6A1276AEE31F}" name="Quantity"/>
    <tableColumn id="8" xr3:uid="{667AC623-387F-4790-960D-F84FCB6B4784}" name="Supplier"/>
    <tableColumn id="9" xr3:uid="{7F081556-47A4-4D0C-B048-DD95B1F8BC91}" name="Warehouse_Location"/>
    <tableColumn id="10" xr3:uid="{3094DB54-5FFA-4E4C-BFFA-5DA1A45FD85B}" name="Unit_Cost"/>
    <tableColumn id="11" xr3:uid="{B43A6B7C-96F0-43F4-84A6-998A7407DF8F}" name="Damaged_Qty"/>
    <tableColumn id="12" xr3:uid="{832B88AE-0BC7-4FB2-871D-078A66A049E1}" name="Processing_Time_Hours"/>
    <tableColumn id="13" xr3:uid="{D59A663E-781F-400B-A5B4-C4035D3A86AC}" name="Status"/>
    <tableColumn id="14" xr3:uid="{657D5FDA-0350-469F-A76A-D936E72C3FC8}" name="Month" dataDxfId="21">
      <calculatedColumnFormula>DATE(YEAR(WarehouseTransactions3[[#This Row],[Date]]),MONTH(WarehouseTransactions3[[#This Row],[Date]]),1)</calculatedColumnFormula>
    </tableColumn>
    <tableColumn id="15" xr3:uid="{34A5B896-405A-441E-83D0-A56840357883}" name="Transaction_Value" dataDxfId="20">
      <calculatedColumnFormula>WarehouseTransactions3[[#This Row],[Quantity]]*WarehouseTransactions3[[#This Row],[Unit_Cost]]</calculatedColumnFormula>
    </tableColumn>
    <tableColumn id="16" xr3:uid="{E69C892F-A2F8-4AA9-BE39-023F7B324E37}" name="Net_Good_Qty" dataDxfId="19">
      <calculatedColumnFormula>WarehouseTransactions3[[#This Row],[Quantity]]-WarehouseTransactions3[[#This Row],[Damaged_Qty]]</calculatedColumnFormula>
    </tableColumn>
    <tableColumn id="17" xr3:uid="{C2B07266-0578-430C-B249-42300A7EB173}" name="Signed_Quantity" dataDxfId="18">
      <calculatedColumnFormula>IF(WarehouseTransactions3[[#This Row],[Transaction_Type]]="Inbound",WarehouseTransactions3[[#This Row],[Quantity]],-WarehouseTransactions3[[#This Row],[Quantity]])</calculatedColumnFormula>
    </tableColumn>
    <tableColumn id="18" xr3:uid="{F023EA2A-963C-4E19-9D4A-BA97F7356C1E}" name="Damage_Rate" dataDxfId="17">
      <calculatedColumnFormula>IFERROR(WarehouseTransactions3[[#This Row],[Damaged_Qty]]/WarehouseTransactions3[[#This Row],[Quantity]],0)</calculatedColumnFormula>
    </tableColumn>
    <tableColumn id="19" xr3:uid="{5EA28F61-9E1A-4E5A-B39F-4BE07EDDC302}" name="Delayed_Flag" dataDxfId="16">
      <calculatedColumnFormula>IF(WarehouseTransactions3[[#This Row],[Status]]="Delayed",1,0)</calculatedColumnFormula>
    </tableColumn>
    <tableColumn id="20" xr3:uid="{62DAF41A-A349-49C9-A26D-B9395FA4F91F}" name="Pending_Flag" dataDxfId="15">
      <calculatedColumnFormula>IF(WarehouseTransactions3[[#This Row],[Status]]="Pending",1,0)</calculatedColumnFormula>
    </tableColumn>
    <tableColumn id="21" xr3:uid="{606F5E49-CF7F-4169-A6A3-D530692E7272}" name="High_Process_Flag" dataDxfId="14">
      <calculatedColumnFormula>IF(WarehouseTransactions3[[#This Row],[Processing_Time_Hours]]&gt;8,1,0)</calculatedColumnFormula>
    </tableColumn>
    <tableColumn id="22" xr3:uid="{CD7A6EA4-9BE6-4BE7-B6E3-952B62775147}" name="Column1" dataDxfId="13">
      <calculatedColumnFormula>WarehouseTransactions3[[#This Row],[Processing_Time_Hours]]/24</calculatedColumnFormula>
    </tableColumn>
    <tableColumn id="23" xr3:uid="{1F40EC6E-07CB-4741-ACCB-6E073BD114C6}" name="Inbound_Qty" dataDxfId="12">
      <calculatedColumnFormula>IF(WarehouseTransactions3[[#This Row],[Transaction_Type]]="Inbound",WarehouseTransactions3[[#This Row],[Quantity]],0)</calculatedColumnFormula>
    </tableColumn>
    <tableColumn id="24" xr3:uid="{B3762FDC-328E-4573-A2B6-DBE7331990EA}" name="Outbound_Qty" dataDxfId="11">
      <calculatedColumnFormula>IF(WarehouseTransactions3[[#This Row],[Transaction_Type]]="Outbound",WarehouseTransactions3[[#This Row],[Quantity]],0)</calculatedColumnFormula>
    </tableColumn>
    <tableColumn id="25" xr3:uid="{14208DCE-D793-4AB1-9A05-DFE2ACCC6F6B}" name="Inbound_Value" dataDxfId="10">
      <calculatedColumnFormula>IF(WarehouseTransactions3[[#This Row],[Transaction_Type]]="Inbound",WarehouseTransactions3[[#This Row],[Transaction_Value]],0)</calculatedColumnFormula>
    </tableColumn>
    <tableColumn id="26" xr3:uid="{8DD65BDE-28B1-4393-997E-4CF385E75495}" name="Outbound_Value" dataDxfId="9">
      <calculatedColumnFormula>IF(WarehouseTransactions3[[#This Row],[Transaction_Type]]="Outbound",WarehouseTransactions3[[#This Row],[Transaction_Value]],0)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M101"/>
  <sheetViews>
    <sheetView showGridLines="0" tabSelected="1" workbookViewId="0">
      <pane xSplit="3" ySplit="1" topLeftCell="J8" activePane="bottomRight" state="frozen"/>
      <selection pane="topRight"/>
      <selection pane="bottomLeft"/>
      <selection pane="bottomRight" activeCell="N19" sqref="N19"/>
    </sheetView>
  </sheetViews>
  <sheetFormatPr defaultRowHeight="14.4" x14ac:dyDescent="0.3"/>
  <cols>
    <col min="1" max="1" width="14" customWidth="1"/>
    <col min="2" max="2" width="13" customWidth="1"/>
    <col min="3" max="3" width="12" customWidth="1"/>
    <col min="4" max="4" width="28" customWidth="1"/>
    <col min="5" max="5" width="15" customWidth="1"/>
    <col min="6" max="6" width="17" customWidth="1"/>
    <col min="7" max="7" width="11" customWidth="1"/>
    <col min="8" max="8" width="22" customWidth="1"/>
    <col min="9" max="9" width="20" customWidth="1"/>
    <col min="10" max="11" width="14" customWidth="1"/>
    <col min="12" max="12" width="23" customWidth="1"/>
    <col min="13" max="13" width="13" customWidth="1"/>
  </cols>
  <sheetData>
    <row r="1" spans="1:13" ht="31.9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">
      <c r="A2" s="4" t="s">
        <v>13</v>
      </c>
      <c r="B2" s="5">
        <v>46024</v>
      </c>
      <c r="C2" s="4" t="s">
        <v>14</v>
      </c>
      <c r="D2" s="6" t="s">
        <v>15</v>
      </c>
      <c r="E2" s="4" t="s">
        <v>16</v>
      </c>
      <c r="F2" s="4" t="s">
        <v>17</v>
      </c>
      <c r="G2" s="7">
        <v>69</v>
      </c>
      <c r="H2" s="6" t="s">
        <v>18</v>
      </c>
      <c r="I2" s="4" t="s">
        <v>19</v>
      </c>
      <c r="J2" s="7">
        <v>6500</v>
      </c>
      <c r="K2" s="7">
        <v>0</v>
      </c>
      <c r="L2" s="8">
        <v>8.1</v>
      </c>
      <c r="M2" s="4" t="s">
        <v>20</v>
      </c>
    </row>
    <row r="3" spans="1:13" x14ac:dyDescent="0.3">
      <c r="A3" s="9" t="s">
        <v>21</v>
      </c>
      <c r="B3" s="10">
        <v>46024</v>
      </c>
      <c r="C3" s="9" t="s">
        <v>22</v>
      </c>
      <c r="D3" s="11" t="s">
        <v>23</v>
      </c>
      <c r="E3" s="9" t="s">
        <v>24</v>
      </c>
      <c r="F3" s="9" t="s">
        <v>17</v>
      </c>
      <c r="G3" s="12">
        <v>27</v>
      </c>
      <c r="H3" s="11" t="s">
        <v>25</v>
      </c>
      <c r="I3" s="9" t="s">
        <v>26</v>
      </c>
      <c r="J3" s="12">
        <v>11200</v>
      </c>
      <c r="K3" s="12">
        <v>1</v>
      </c>
      <c r="L3" s="13">
        <v>3.5</v>
      </c>
      <c r="M3" s="9" t="s">
        <v>20</v>
      </c>
    </row>
    <row r="4" spans="1:13" x14ac:dyDescent="0.3">
      <c r="A4" s="9" t="s">
        <v>27</v>
      </c>
      <c r="B4" s="10">
        <v>46025</v>
      </c>
      <c r="C4" s="9" t="s">
        <v>28</v>
      </c>
      <c r="D4" s="11" t="s">
        <v>29</v>
      </c>
      <c r="E4" s="9" t="s">
        <v>30</v>
      </c>
      <c r="F4" s="9" t="s">
        <v>31</v>
      </c>
      <c r="G4" s="12">
        <v>17</v>
      </c>
      <c r="H4" s="11" t="s">
        <v>32</v>
      </c>
      <c r="I4" s="9" t="s">
        <v>19</v>
      </c>
      <c r="J4" s="12">
        <v>68500</v>
      </c>
      <c r="K4" s="12">
        <v>0</v>
      </c>
      <c r="L4" s="13">
        <v>4.0999999999999996</v>
      </c>
      <c r="M4" s="9" t="s">
        <v>20</v>
      </c>
    </row>
    <row r="5" spans="1:13" x14ac:dyDescent="0.3">
      <c r="A5" s="9" t="s">
        <v>33</v>
      </c>
      <c r="B5" s="10">
        <v>46027</v>
      </c>
      <c r="C5" s="9" t="s">
        <v>34</v>
      </c>
      <c r="D5" s="11" t="s">
        <v>35</v>
      </c>
      <c r="E5" s="9" t="s">
        <v>36</v>
      </c>
      <c r="F5" s="9" t="s">
        <v>31</v>
      </c>
      <c r="G5" s="12">
        <v>25</v>
      </c>
      <c r="H5" s="11" t="s">
        <v>37</v>
      </c>
      <c r="I5" s="9" t="s">
        <v>38</v>
      </c>
      <c r="J5" s="12">
        <v>13900</v>
      </c>
      <c r="K5" s="12">
        <v>0</v>
      </c>
      <c r="L5" s="13">
        <v>12.4</v>
      </c>
      <c r="M5" s="9" t="s">
        <v>39</v>
      </c>
    </row>
    <row r="6" spans="1:13" x14ac:dyDescent="0.3">
      <c r="A6" s="9" t="s">
        <v>40</v>
      </c>
      <c r="B6" s="10">
        <v>46028</v>
      </c>
      <c r="C6" s="9" t="s">
        <v>41</v>
      </c>
      <c r="D6" s="11" t="s">
        <v>42</v>
      </c>
      <c r="E6" s="9" t="s">
        <v>16</v>
      </c>
      <c r="F6" s="9" t="s">
        <v>17</v>
      </c>
      <c r="G6" s="12">
        <v>48</v>
      </c>
      <c r="H6" s="11" t="s">
        <v>18</v>
      </c>
      <c r="I6" s="9" t="s">
        <v>19</v>
      </c>
      <c r="J6" s="12">
        <v>54500</v>
      </c>
      <c r="K6" s="12">
        <v>0</v>
      </c>
      <c r="L6" s="13">
        <v>12.1</v>
      </c>
      <c r="M6" s="9" t="s">
        <v>43</v>
      </c>
    </row>
    <row r="7" spans="1:13" x14ac:dyDescent="0.3">
      <c r="A7" s="9" t="s">
        <v>44</v>
      </c>
      <c r="B7" s="10">
        <v>46028</v>
      </c>
      <c r="C7" s="9" t="s">
        <v>45</v>
      </c>
      <c r="D7" s="11" t="s">
        <v>46</v>
      </c>
      <c r="E7" s="9" t="s">
        <v>47</v>
      </c>
      <c r="F7" s="9" t="s">
        <v>17</v>
      </c>
      <c r="G7" s="12">
        <v>63</v>
      </c>
      <c r="H7" s="11" t="s">
        <v>48</v>
      </c>
      <c r="I7" s="9" t="s">
        <v>49</v>
      </c>
      <c r="J7" s="12">
        <v>17200</v>
      </c>
      <c r="K7" s="12">
        <v>0</v>
      </c>
      <c r="L7" s="13">
        <v>6</v>
      </c>
      <c r="M7" s="9" t="s">
        <v>20</v>
      </c>
    </row>
    <row r="8" spans="1:13" x14ac:dyDescent="0.3">
      <c r="A8" s="9" t="s">
        <v>50</v>
      </c>
      <c r="B8" s="10">
        <v>46032</v>
      </c>
      <c r="C8" s="9" t="s">
        <v>28</v>
      </c>
      <c r="D8" s="11" t="s">
        <v>29</v>
      </c>
      <c r="E8" s="9" t="s">
        <v>30</v>
      </c>
      <c r="F8" s="9" t="s">
        <v>17</v>
      </c>
      <c r="G8" s="12">
        <v>100</v>
      </c>
      <c r="H8" s="11" t="s">
        <v>32</v>
      </c>
      <c r="I8" s="9" t="s">
        <v>19</v>
      </c>
      <c r="J8" s="12">
        <v>68500</v>
      </c>
      <c r="K8" s="12">
        <v>0</v>
      </c>
      <c r="L8" s="13">
        <v>10.8</v>
      </c>
      <c r="M8" s="9" t="s">
        <v>43</v>
      </c>
    </row>
    <row r="9" spans="1:13" x14ac:dyDescent="0.3">
      <c r="A9" s="9" t="s">
        <v>51</v>
      </c>
      <c r="B9" s="10">
        <v>46032</v>
      </c>
      <c r="C9" s="9" t="s">
        <v>22</v>
      </c>
      <c r="D9" s="11" t="s">
        <v>23</v>
      </c>
      <c r="E9" s="9" t="s">
        <v>24</v>
      </c>
      <c r="F9" s="9" t="s">
        <v>17</v>
      </c>
      <c r="G9" s="12">
        <v>67</v>
      </c>
      <c r="H9" s="11" t="s">
        <v>25</v>
      </c>
      <c r="I9" s="9" t="s">
        <v>26</v>
      </c>
      <c r="J9" s="12">
        <v>11200</v>
      </c>
      <c r="K9" s="12">
        <v>0</v>
      </c>
      <c r="L9" s="13">
        <v>4.8</v>
      </c>
      <c r="M9" s="9" t="s">
        <v>20</v>
      </c>
    </row>
    <row r="10" spans="1:13" x14ac:dyDescent="0.3">
      <c r="A10" s="9" t="s">
        <v>52</v>
      </c>
      <c r="B10" s="10">
        <v>46034</v>
      </c>
      <c r="C10" s="9" t="s">
        <v>41</v>
      </c>
      <c r="D10" s="11" t="s">
        <v>42</v>
      </c>
      <c r="E10" s="9" t="s">
        <v>16</v>
      </c>
      <c r="F10" s="9" t="s">
        <v>17</v>
      </c>
      <c r="G10" s="12">
        <v>22</v>
      </c>
      <c r="H10" s="11" t="s">
        <v>18</v>
      </c>
      <c r="I10" s="9" t="s">
        <v>19</v>
      </c>
      <c r="J10" s="12">
        <v>54500</v>
      </c>
      <c r="K10" s="12">
        <v>0</v>
      </c>
      <c r="L10" s="13">
        <v>4.3</v>
      </c>
      <c r="M10" s="9" t="s">
        <v>20</v>
      </c>
    </row>
    <row r="11" spans="1:13" x14ac:dyDescent="0.3">
      <c r="A11" s="9" t="s">
        <v>53</v>
      </c>
      <c r="B11" s="10">
        <v>46038</v>
      </c>
      <c r="C11" s="9" t="s">
        <v>28</v>
      </c>
      <c r="D11" s="11" t="s">
        <v>29</v>
      </c>
      <c r="E11" s="9" t="s">
        <v>30</v>
      </c>
      <c r="F11" s="9" t="s">
        <v>17</v>
      </c>
      <c r="G11" s="12">
        <v>73</v>
      </c>
      <c r="H11" s="11" t="s">
        <v>32</v>
      </c>
      <c r="I11" s="9" t="s">
        <v>19</v>
      </c>
      <c r="J11" s="12">
        <v>68500</v>
      </c>
      <c r="K11" s="12">
        <v>0</v>
      </c>
      <c r="L11" s="13">
        <v>4.4000000000000004</v>
      </c>
      <c r="M11" s="9" t="s">
        <v>20</v>
      </c>
    </row>
    <row r="12" spans="1:13" x14ac:dyDescent="0.3">
      <c r="A12" s="9" t="s">
        <v>54</v>
      </c>
      <c r="B12" s="10">
        <v>46038</v>
      </c>
      <c r="C12" s="9" t="s">
        <v>14</v>
      </c>
      <c r="D12" s="11" t="s">
        <v>15</v>
      </c>
      <c r="E12" s="9" t="s">
        <v>16</v>
      </c>
      <c r="F12" s="9" t="s">
        <v>17</v>
      </c>
      <c r="G12" s="12">
        <v>46</v>
      </c>
      <c r="H12" s="11" t="s">
        <v>18</v>
      </c>
      <c r="I12" s="9" t="s">
        <v>19</v>
      </c>
      <c r="J12" s="12">
        <v>6500</v>
      </c>
      <c r="K12" s="12">
        <v>0</v>
      </c>
      <c r="L12" s="13">
        <v>5.8</v>
      </c>
      <c r="M12" s="9" t="s">
        <v>20</v>
      </c>
    </row>
    <row r="13" spans="1:13" x14ac:dyDescent="0.3">
      <c r="A13" s="9" t="s">
        <v>55</v>
      </c>
      <c r="B13" s="10">
        <v>46039</v>
      </c>
      <c r="C13" s="9" t="s">
        <v>56</v>
      </c>
      <c r="D13" s="11" t="s">
        <v>57</v>
      </c>
      <c r="E13" s="9" t="s">
        <v>24</v>
      </c>
      <c r="F13" s="9" t="s">
        <v>17</v>
      </c>
      <c r="G13" s="12">
        <v>50</v>
      </c>
      <c r="H13" s="11" t="s">
        <v>25</v>
      </c>
      <c r="I13" s="9" t="s">
        <v>58</v>
      </c>
      <c r="J13" s="12">
        <v>3200</v>
      </c>
      <c r="K13" s="12">
        <v>0</v>
      </c>
      <c r="L13" s="13">
        <v>10.7</v>
      </c>
      <c r="M13" s="9" t="s">
        <v>43</v>
      </c>
    </row>
    <row r="14" spans="1:13" x14ac:dyDescent="0.3">
      <c r="A14" s="9" t="s">
        <v>59</v>
      </c>
      <c r="B14" s="10">
        <v>46040</v>
      </c>
      <c r="C14" s="9" t="s">
        <v>22</v>
      </c>
      <c r="D14" s="11" t="s">
        <v>23</v>
      </c>
      <c r="E14" s="9" t="s">
        <v>24</v>
      </c>
      <c r="F14" s="9" t="s">
        <v>31</v>
      </c>
      <c r="G14" s="12">
        <v>34</v>
      </c>
      <c r="H14" s="11" t="s">
        <v>25</v>
      </c>
      <c r="I14" s="9" t="s">
        <v>26</v>
      </c>
      <c r="J14" s="12">
        <v>11200</v>
      </c>
      <c r="K14" s="12">
        <v>0</v>
      </c>
      <c r="L14" s="13">
        <v>1.9</v>
      </c>
      <c r="M14" s="9" t="s">
        <v>20</v>
      </c>
    </row>
    <row r="15" spans="1:13" x14ac:dyDescent="0.3">
      <c r="A15" s="9" t="s">
        <v>60</v>
      </c>
      <c r="B15" s="10">
        <v>46041</v>
      </c>
      <c r="C15" s="9" t="s">
        <v>61</v>
      </c>
      <c r="D15" s="11" t="s">
        <v>62</v>
      </c>
      <c r="E15" s="9" t="s">
        <v>36</v>
      </c>
      <c r="F15" s="9" t="s">
        <v>31</v>
      </c>
      <c r="G15" s="12">
        <v>10</v>
      </c>
      <c r="H15" s="11" t="s">
        <v>37</v>
      </c>
      <c r="I15" s="9" t="s">
        <v>63</v>
      </c>
      <c r="J15" s="12">
        <v>22400</v>
      </c>
      <c r="K15" s="12">
        <v>2</v>
      </c>
      <c r="L15" s="13">
        <v>4.7</v>
      </c>
      <c r="M15" s="9" t="s">
        <v>20</v>
      </c>
    </row>
    <row r="16" spans="1:13" x14ac:dyDescent="0.3">
      <c r="A16" s="9" t="s">
        <v>64</v>
      </c>
      <c r="B16" s="10">
        <v>46044</v>
      </c>
      <c r="C16" s="9" t="s">
        <v>65</v>
      </c>
      <c r="D16" s="11" t="s">
        <v>66</v>
      </c>
      <c r="E16" s="9" t="s">
        <v>16</v>
      </c>
      <c r="F16" s="9" t="s">
        <v>17</v>
      </c>
      <c r="G16" s="12">
        <v>42</v>
      </c>
      <c r="H16" s="11" t="s">
        <v>18</v>
      </c>
      <c r="I16" s="9" t="s">
        <v>67</v>
      </c>
      <c r="J16" s="12">
        <v>12400</v>
      </c>
      <c r="K16" s="12">
        <v>0</v>
      </c>
      <c r="L16" s="13">
        <v>11</v>
      </c>
      <c r="M16" s="9" t="s">
        <v>39</v>
      </c>
    </row>
    <row r="17" spans="1:13" x14ac:dyDescent="0.3">
      <c r="A17" s="9" t="s">
        <v>68</v>
      </c>
      <c r="B17" s="10">
        <v>46046</v>
      </c>
      <c r="C17" s="9" t="s">
        <v>69</v>
      </c>
      <c r="D17" s="11" t="s">
        <v>70</v>
      </c>
      <c r="E17" s="9" t="s">
        <v>16</v>
      </c>
      <c r="F17" s="9" t="s">
        <v>31</v>
      </c>
      <c r="G17" s="12">
        <v>38</v>
      </c>
      <c r="H17" s="11" t="s">
        <v>18</v>
      </c>
      <c r="I17" s="9" t="s">
        <v>67</v>
      </c>
      <c r="J17" s="12">
        <v>7800</v>
      </c>
      <c r="K17" s="12">
        <v>0</v>
      </c>
      <c r="L17" s="13">
        <v>1.3</v>
      </c>
      <c r="M17" s="9" t="s">
        <v>20</v>
      </c>
    </row>
    <row r="18" spans="1:13" x14ac:dyDescent="0.3">
      <c r="A18" s="9" t="s">
        <v>71</v>
      </c>
      <c r="B18" s="10">
        <v>46048</v>
      </c>
      <c r="C18" s="9" t="s">
        <v>72</v>
      </c>
      <c r="D18" s="11" t="s">
        <v>73</v>
      </c>
      <c r="E18" s="9" t="s">
        <v>47</v>
      </c>
      <c r="F18" s="9" t="s">
        <v>17</v>
      </c>
      <c r="G18" s="12">
        <v>57</v>
      </c>
      <c r="H18" s="11" t="s">
        <v>48</v>
      </c>
      <c r="I18" s="9" t="s">
        <v>74</v>
      </c>
      <c r="J18" s="12">
        <v>3100</v>
      </c>
      <c r="K18" s="12">
        <v>0</v>
      </c>
      <c r="L18" s="13">
        <v>1.7</v>
      </c>
      <c r="M18" s="9" t="s">
        <v>20</v>
      </c>
    </row>
    <row r="19" spans="1:13" x14ac:dyDescent="0.3">
      <c r="A19" s="9" t="s">
        <v>75</v>
      </c>
      <c r="B19" s="10">
        <v>46056</v>
      </c>
      <c r="C19" s="9" t="s">
        <v>45</v>
      </c>
      <c r="D19" s="11" t="s">
        <v>46</v>
      </c>
      <c r="E19" s="9" t="s">
        <v>47</v>
      </c>
      <c r="F19" s="9" t="s">
        <v>17</v>
      </c>
      <c r="G19" s="12">
        <v>21</v>
      </c>
      <c r="H19" s="11" t="s">
        <v>48</v>
      </c>
      <c r="I19" s="9" t="s">
        <v>49</v>
      </c>
      <c r="J19" s="12">
        <v>17200</v>
      </c>
      <c r="K19" s="12">
        <v>0</v>
      </c>
      <c r="L19" s="13">
        <v>4.5</v>
      </c>
      <c r="M19" s="9" t="s">
        <v>20</v>
      </c>
    </row>
    <row r="20" spans="1:13" x14ac:dyDescent="0.3">
      <c r="A20" s="9" t="s">
        <v>76</v>
      </c>
      <c r="B20" s="10">
        <v>46056</v>
      </c>
      <c r="C20" s="9" t="s">
        <v>77</v>
      </c>
      <c r="D20" s="11" t="s">
        <v>78</v>
      </c>
      <c r="E20" s="9" t="s">
        <v>30</v>
      </c>
      <c r="F20" s="9" t="s">
        <v>31</v>
      </c>
      <c r="G20" s="12">
        <v>95</v>
      </c>
      <c r="H20" s="11" t="s">
        <v>32</v>
      </c>
      <c r="I20" s="9" t="s">
        <v>67</v>
      </c>
      <c r="J20" s="12">
        <v>36500</v>
      </c>
      <c r="K20" s="12">
        <v>0</v>
      </c>
      <c r="L20" s="13">
        <v>8.4</v>
      </c>
      <c r="M20" s="9" t="s">
        <v>20</v>
      </c>
    </row>
    <row r="21" spans="1:13" x14ac:dyDescent="0.3">
      <c r="A21" s="9" t="s">
        <v>79</v>
      </c>
      <c r="B21" s="10">
        <v>46057</v>
      </c>
      <c r="C21" s="9" t="s">
        <v>34</v>
      </c>
      <c r="D21" s="11" t="s">
        <v>35</v>
      </c>
      <c r="E21" s="9" t="s">
        <v>36</v>
      </c>
      <c r="F21" s="9" t="s">
        <v>31</v>
      </c>
      <c r="G21" s="12">
        <v>80</v>
      </c>
      <c r="H21" s="11" t="s">
        <v>37</v>
      </c>
      <c r="I21" s="9" t="s">
        <v>38</v>
      </c>
      <c r="J21" s="12">
        <v>13900</v>
      </c>
      <c r="K21" s="12">
        <v>0</v>
      </c>
      <c r="L21" s="13">
        <v>1.6</v>
      </c>
      <c r="M21" s="9" t="s">
        <v>20</v>
      </c>
    </row>
    <row r="22" spans="1:13" x14ac:dyDescent="0.3">
      <c r="A22" s="9" t="s">
        <v>80</v>
      </c>
      <c r="B22" s="10">
        <v>46057</v>
      </c>
      <c r="C22" s="9" t="s">
        <v>22</v>
      </c>
      <c r="D22" s="11" t="s">
        <v>23</v>
      </c>
      <c r="E22" s="9" t="s">
        <v>24</v>
      </c>
      <c r="F22" s="9" t="s">
        <v>31</v>
      </c>
      <c r="G22" s="12">
        <v>86</v>
      </c>
      <c r="H22" s="11" t="s">
        <v>25</v>
      </c>
      <c r="I22" s="9" t="s">
        <v>26</v>
      </c>
      <c r="J22" s="12">
        <v>11200</v>
      </c>
      <c r="K22" s="12">
        <v>0</v>
      </c>
      <c r="L22" s="13">
        <v>2.4</v>
      </c>
      <c r="M22" s="9" t="s">
        <v>20</v>
      </c>
    </row>
    <row r="23" spans="1:13" x14ac:dyDescent="0.3">
      <c r="A23" s="9" t="s">
        <v>81</v>
      </c>
      <c r="B23" s="10">
        <v>46061</v>
      </c>
      <c r="C23" s="9" t="s">
        <v>72</v>
      </c>
      <c r="D23" s="11" t="s">
        <v>73</v>
      </c>
      <c r="E23" s="9" t="s">
        <v>47</v>
      </c>
      <c r="F23" s="9" t="s">
        <v>31</v>
      </c>
      <c r="G23" s="12">
        <v>31</v>
      </c>
      <c r="H23" s="11" t="s">
        <v>48</v>
      </c>
      <c r="I23" s="9" t="s">
        <v>74</v>
      </c>
      <c r="J23" s="12">
        <v>3100</v>
      </c>
      <c r="K23" s="12">
        <v>0</v>
      </c>
      <c r="L23" s="13">
        <v>1.8</v>
      </c>
      <c r="M23" s="9" t="s">
        <v>20</v>
      </c>
    </row>
    <row r="24" spans="1:13" x14ac:dyDescent="0.3">
      <c r="A24" s="9" t="s">
        <v>82</v>
      </c>
      <c r="B24" s="10">
        <v>46062</v>
      </c>
      <c r="C24" s="9" t="s">
        <v>69</v>
      </c>
      <c r="D24" s="11" t="s">
        <v>70</v>
      </c>
      <c r="E24" s="9" t="s">
        <v>16</v>
      </c>
      <c r="F24" s="9" t="s">
        <v>17</v>
      </c>
      <c r="G24" s="12">
        <v>78</v>
      </c>
      <c r="H24" s="11" t="s">
        <v>18</v>
      </c>
      <c r="I24" s="9" t="s">
        <v>67</v>
      </c>
      <c r="J24" s="12">
        <v>7800</v>
      </c>
      <c r="K24" s="12">
        <v>0</v>
      </c>
      <c r="L24" s="13">
        <v>7.5</v>
      </c>
      <c r="M24" s="9" t="s">
        <v>39</v>
      </c>
    </row>
    <row r="25" spans="1:13" x14ac:dyDescent="0.3">
      <c r="A25" s="9" t="s">
        <v>83</v>
      </c>
      <c r="B25" s="10">
        <v>46063</v>
      </c>
      <c r="C25" s="9" t="s">
        <v>65</v>
      </c>
      <c r="D25" s="11" t="s">
        <v>66</v>
      </c>
      <c r="E25" s="9" t="s">
        <v>16</v>
      </c>
      <c r="F25" s="9" t="s">
        <v>17</v>
      </c>
      <c r="G25" s="12">
        <v>39</v>
      </c>
      <c r="H25" s="11" t="s">
        <v>18</v>
      </c>
      <c r="I25" s="9" t="s">
        <v>67</v>
      </c>
      <c r="J25" s="12">
        <v>12400</v>
      </c>
      <c r="K25" s="12">
        <v>0</v>
      </c>
      <c r="L25" s="13">
        <v>4.5</v>
      </c>
      <c r="M25" s="9" t="s">
        <v>20</v>
      </c>
    </row>
    <row r="26" spans="1:13" x14ac:dyDescent="0.3">
      <c r="A26" s="9" t="s">
        <v>84</v>
      </c>
      <c r="B26" s="10">
        <v>46065</v>
      </c>
      <c r="C26" s="9" t="s">
        <v>34</v>
      </c>
      <c r="D26" s="11" t="s">
        <v>35</v>
      </c>
      <c r="E26" s="9" t="s">
        <v>36</v>
      </c>
      <c r="F26" s="9" t="s">
        <v>17</v>
      </c>
      <c r="G26" s="12">
        <v>83</v>
      </c>
      <c r="H26" s="11" t="s">
        <v>37</v>
      </c>
      <c r="I26" s="9" t="s">
        <v>38</v>
      </c>
      <c r="J26" s="12">
        <v>13900</v>
      </c>
      <c r="K26" s="12">
        <v>0</v>
      </c>
      <c r="L26" s="13">
        <v>5.7</v>
      </c>
      <c r="M26" s="9" t="s">
        <v>20</v>
      </c>
    </row>
    <row r="27" spans="1:13" x14ac:dyDescent="0.3">
      <c r="A27" s="9" t="s">
        <v>85</v>
      </c>
      <c r="B27" s="10">
        <v>46066</v>
      </c>
      <c r="C27" s="9" t="s">
        <v>41</v>
      </c>
      <c r="D27" s="11" t="s">
        <v>42</v>
      </c>
      <c r="E27" s="9" t="s">
        <v>16</v>
      </c>
      <c r="F27" s="9" t="s">
        <v>31</v>
      </c>
      <c r="G27" s="12">
        <v>53</v>
      </c>
      <c r="H27" s="11" t="s">
        <v>18</v>
      </c>
      <c r="I27" s="9" t="s">
        <v>19</v>
      </c>
      <c r="J27" s="12">
        <v>54500</v>
      </c>
      <c r="K27" s="12">
        <v>0</v>
      </c>
      <c r="L27" s="13">
        <v>4.7</v>
      </c>
      <c r="M27" s="9" t="s">
        <v>20</v>
      </c>
    </row>
    <row r="28" spans="1:13" x14ac:dyDescent="0.3">
      <c r="A28" s="9" t="s">
        <v>86</v>
      </c>
      <c r="B28" s="10">
        <v>46070</v>
      </c>
      <c r="C28" s="9" t="s">
        <v>14</v>
      </c>
      <c r="D28" s="11" t="s">
        <v>15</v>
      </c>
      <c r="E28" s="9" t="s">
        <v>16</v>
      </c>
      <c r="F28" s="9" t="s">
        <v>31</v>
      </c>
      <c r="G28" s="12">
        <v>25</v>
      </c>
      <c r="H28" s="11" t="s">
        <v>18</v>
      </c>
      <c r="I28" s="9" t="s">
        <v>19</v>
      </c>
      <c r="J28" s="12">
        <v>6500</v>
      </c>
      <c r="K28" s="12">
        <v>0</v>
      </c>
      <c r="L28" s="13">
        <v>4.5999999999999996</v>
      </c>
      <c r="M28" s="9" t="s">
        <v>20</v>
      </c>
    </row>
    <row r="29" spans="1:13" x14ac:dyDescent="0.3">
      <c r="A29" s="9" t="s">
        <v>87</v>
      </c>
      <c r="B29" s="10">
        <v>46070</v>
      </c>
      <c r="C29" s="9" t="s">
        <v>41</v>
      </c>
      <c r="D29" s="11" t="s">
        <v>42</v>
      </c>
      <c r="E29" s="9" t="s">
        <v>16</v>
      </c>
      <c r="F29" s="9" t="s">
        <v>17</v>
      </c>
      <c r="G29" s="12">
        <v>100</v>
      </c>
      <c r="H29" s="11" t="s">
        <v>18</v>
      </c>
      <c r="I29" s="9" t="s">
        <v>19</v>
      </c>
      <c r="J29" s="12">
        <v>54500</v>
      </c>
      <c r="K29" s="12">
        <v>0</v>
      </c>
      <c r="L29" s="13">
        <v>3.3</v>
      </c>
      <c r="M29" s="9" t="s">
        <v>20</v>
      </c>
    </row>
    <row r="30" spans="1:13" x14ac:dyDescent="0.3">
      <c r="A30" s="9" t="s">
        <v>88</v>
      </c>
      <c r="B30" s="10">
        <v>46071</v>
      </c>
      <c r="C30" s="9" t="s">
        <v>65</v>
      </c>
      <c r="D30" s="11" t="s">
        <v>66</v>
      </c>
      <c r="E30" s="9" t="s">
        <v>16</v>
      </c>
      <c r="F30" s="9" t="s">
        <v>31</v>
      </c>
      <c r="G30" s="12">
        <v>80</v>
      </c>
      <c r="H30" s="11" t="s">
        <v>18</v>
      </c>
      <c r="I30" s="9" t="s">
        <v>67</v>
      </c>
      <c r="J30" s="12">
        <v>12400</v>
      </c>
      <c r="K30" s="12">
        <v>0</v>
      </c>
      <c r="L30" s="13">
        <v>2.5</v>
      </c>
      <c r="M30" s="9" t="s">
        <v>20</v>
      </c>
    </row>
    <row r="31" spans="1:13" x14ac:dyDescent="0.3">
      <c r="A31" s="9" t="s">
        <v>89</v>
      </c>
      <c r="B31" s="10">
        <v>46072</v>
      </c>
      <c r="C31" s="9" t="s">
        <v>77</v>
      </c>
      <c r="D31" s="11" t="s">
        <v>78</v>
      </c>
      <c r="E31" s="9" t="s">
        <v>30</v>
      </c>
      <c r="F31" s="9" t="s">
        <v>17</v>
      </c>
      <c r="G31" s="12">
        <v>99</v>
      </c>
      <c r="H31" s="11" t="s">
        <v>32</v>
      </c>
      <c r="I31" s="9" t="s">
        <v>67</v>
      </c>
      <c r="J31" s="12">
        <v>36500</v>
      </c>
      <c r="K31" s="12">
        <v>3</v>
      </c>
      <c r="L31" s="13">
        <v>5.6</v>
      </c>
      <c r="M31" s="9" t="s">
        <v>20</v>
      </c>
    </row>
    <row r="32" spans="1:13" x14ac:dyDescent="0.3">
      <c r="A32" s="9" t="s">
        <v>90</v>
      </c>
      <c r="B32" s="10">
        <v>46074</v>
      </c>
      <c r="C32" s="9" t="s">
        <v>41</v>
      </c>
      <c r="D32" s="11" t="s">
        <v>42</v>
      </c>
      <c r="E32" s="9" t="s">
        <v>16</v>
      </c>
      <c r="F32" s="9" t="s">
        <v>31</v>
      </c>
      <c r="G32" s="12">
        <v>53</v>
      </c>
      <c r="H32" s="11" t="s">
        <v>18</v>
      </c>
      <c r="I32" s="9" t="s">
        <v>19</v>
      </c>
      <c r="J32" s="12">
        <v>54500</v>
      </c>
      <c r="K32" s="12">
        <v>0</v>
      </c>
      <c r="L32" s="13">
        <v>3.5</v>
      </c>
      <c r="M32" s="9" t="s">
        <v>20</v>
      </c>
    </row>
    <row r="33" spans="1:13" x14ac:dyDescent="0.3">
      <c r="A33" s="9" t="s">
        <v>91</v>
      </c>
      <c r="B33" s="10">
        <v>46075</v>
      </c>
      <c r="C33" s="9" t="s">
        <v>72</v>
      </c>
      <c r="D33" s="11" t="s">
        <v>73</v>
      </c>
      <c r="E33" s="9" t="s">
        <v>47</v>
      </c>
      <c r="F33" s="9" t="s">
        <v>31</v>
      </c>
      <c r="G33" s="12">
        <v>56</v>
      </c>
      <c r="H33" s="11" t="s">
        <v>48</v>
      </c>
      <c r="I33" s="9" t="s">
        <v>74</v>
      </c>
      <c r="J33" s="12">
        <v>3100</v>
      </c>
      <c r="K33" s="12">
        <v>0</v>
      </c>
      <c r="L33" s="13">
        <v>6.3</v>
      </c>
      <c r="M33" s="9" t="s">
        <v>20</v>
      </c>
    </row>
    <row r="34" spans="1:13" x14ac:dyDescent="0.3">
      <c r="A34" s="9" t="s">
        <v>92</v>
      </c>
      <c r="B34" s="10">
        <v>46076</v>
      </c>
      <c r="C34" s="9" t="s">
        <v>93</v>
      </c>
      <c r="D34" s="11" t="s">
        <v>94</v>
      </c>
      <c r="E34" s="9" t="s">
        <v>47</v>
      </c>
      <c r="F34" s="9" t="s">
        <v>17</v>
      </c>
      <c r="G34" s="12">
        <v>72</v>
      </c>
      <c r="H34" s="11" t="s">
        <v>48</v>
      </c>
      <c r="I34" s="9" t="s">
        <v>49</v>
      </c>
      <c r="J34" s="12">
        <v>14500</v>
      </c>
      <c r="K34" s="12">
        <v>0</v>
      </c>
      <c r="L34" s="13">
        <v>9.6999999999999993</v>
      </c>
      <c r="M34" s="9" t="s">
        <v>43</v>
      </c>
    </row>
    <row r="35" spans="1:13" x14ac:dyDescent="0.3">
      <c r="A35" s="9" t="s">
        <v>95</v>
      </c>
      <c r="B35" s="10">
        <v>46079</v>
      </c>
      <c r="C35" s="9" t="s">
        <v>69</v>
      </c>
      <c r="D35" s="11" t="s">
        <v>70</v>
      </c>
      <c r="E35" s="9" t="s">
        <v>16</v>
      </c>
      <c r="F35" s="9" t="s">
        <v>17</v>
      </c>
      <c r="G35" s="12">
        <v>99</v>
      </c>
      <c r="H35" s="11" t="s">
        <v>18</v>
      </c>
      <c r="I35" s="9" t="s">
        <v>67</v>
      </c>
      <c r="J35" s="12">
        <v>7800</v>
      </c>
      <c r="K35" s="12">
        <v>0</v>
      </c>
      <c r="L35" s="13">
        <v>4.5</v>
      </c>
      <c r="M35" s="9" t="s">
        <v>20</v>
      </c>
    </row>
    <row r="36" spans="1:13" x14ac:dyDescent="0.3">
      <c r="A36" s="9" t="s">
        <v>96</v>
      </c>
      <c r="B36" s="10">
        <v>46084</v>
      </c>
      <c r="C36" s="9" t="s">
        <v>72</v>
      </c>
      <c r="D36" s="11" t="s">
        <v>73</v>
      </c>
      <c r="E36" s="9" t="s">
        <v>47</v>
      </c>
      <c r="F36" s="9" t="s">
        <v>17</v>
      </c>
      <c r="G36" s="12">
        <v>33</v>
      </c>
      <c r="H36" s="11" t="s">
        <v>48</v>
      </c>
      <c r="I36" s="9" t="s">
        <v>74</v>
      </c>
      <c r="J36" s="12">
        <v>3100</v>
      </c>
      <c r="K36" s="12">
        <v>0</v>
      </c>
      <c r="L36" s="13">
        <v>2.2000000000000002</v>
      </c>
      <c r="M36" s="9" t="s">
        <v>20</v>
      </c>
    </row>
    <row r="37" spans="1:13" x14ac:dyDescent="0.3">
      <c r="A37" s="9" t="s">
        <v>97</v>
      </c>
      <c r="B37" s="10">
        <v>46084</v>
      </c>
      <c r="C37" s="9" t="s">
        <v>56</v>
      </c>
      <c r="D37" s="11" t="s">
        <v>57</v>
      </c>
      <c r="E37" s="9" t="s">
        <v>24</v>
      </c>
      <c r="F37" s="9" t="s">
        <v>31</v>
      </c>
      <c r="G37" s="12">
        <v>92</v>
      </c>
      <c r="H37" s="11" t="s">
        <v>25</v>
      </c>
      <c r="I37" s="9" t="s">
        <v>58</v>
      </c>
      <c r="J37" s="12">
        <v>3200</v>
      </c>
      <c r="K37" s="12">
        <v>0</v>
      </c>
      <c r="L37" s="13">
        <v>6.3</v>
      </c>
      <c r="M37" s="9" t="s">
        <v>20</v>
      </c>
    </row>
    <row r="38" spans="1:13" x14ac:dyDescent="0.3">
      <c r="A38" s="9" t="s">
        <v>98</v>
      </c>
      <c r="B38" s="10">
        <v>46085</v>
      </c>
      <c r="C38" s="9" t="s">
        <v>41</v>
      </c>
      <c r="D38" s="11" t="s">
        <v>42</v>
      </c>
      <c r="E38" s="9" t="s">
        <v>16</v>
      </c>
      <c r="F38" s="9" t="s">
        <v>17</v>
      </c>
      <c r="G38" s="12">
        <v>92</v>
      </c>
      <c r="H38" s="11" t="s">
        <v>18</v>
      </c>
      <c r="I38" s="9" t="s">
        <v>19</v>
      </c>
      <c r="J38" s="12">
        <v>54500</v>
      </c>
      <c r="K38" s="12">
        <v>0</v>
      </c>
      <c r="L38" s="13">
        <v>1.8</v>
      </c>
      <c r="M38" s="9" t="s">
        <v>20</v>
      </c>
    </row>
    <row r="39" spans="1:13" x14ac:dyDescent="0.3">
      <c r="A39" s="9" t="s">
        <v>99</v>
      </c>
      <c r="B39" s="10">
        <v>46087</v>
      </c>
      <c r="C39" s="9" t="s">
        <v>100</v>
      </c>
      <c r="D39" s="11" t="s">
        <v>101</v>
      </c>
      <c r="E39" s="9" t="s">
        <v>30</v>
      </c>
      <c r="F39" s="9" t="s">
        <v>17</v>
      </c>
      <c r="G39" s="12">
        <v>36</v>
      </c>
      <c r="H39" s="11" t="s">
        <v>32</v>
      </c>
      <c r="I39" s="9" t="s">
        <v>67</v>
      </c>
      <c r="J39" s="12">
        <v>23800</v>
      </c>
      <c r="K39" s="12">
        <v>0</v>
      </c>
      <c r="L39" s="13">
        <v>3.9</v>
      </c>
      <c r="M39" s="9" t="s">
        <v>20</v>
      </c>
    </row>
    <row r="40" spans="1:13" x14ac:dyDescent="0.3">
      <c r="A40" s="9" t="s">
        <v>102</v>
      </c>
      <c r="B40" s="10">
        <v>46088</v>
      </c>
      <c r="C40" s="9" t="s">
        <v>45</v>
      </c>
      <c r="D40" s="11" t="s">
        <v>46</v>
      </c>
      <c r="E40" s="9" t="s">
        <v>47</v>
      </c>
      <c r="F40" s="9" t="s">
        <v>17</v>
      </c>
      <c r="G40" s="12">
        <v>18</v>
      </c>
      <c r="H40" s="11" t="s">
        <v>48</v>
      </c>
      <c r="I40" s="9" t="s">
        <v>49</v>
      </c>
      <c r="J40" s="12">
        <v>17200</v>
      </c>
      <c r="K40" s="12">
        <v>0</v>
      </c>
      <c r="L40" s="13">
        <v>6.3</v>
      </c>
      <c r="M40" s="9" t="s">
        <v>20</v>
      </c>
    </row>
    <row r="41" spans="1:13" x14ac:dyDescent="0.3">
      <c r="A41" s="9" t="s">
        <v>103</v>
      </c>
      <c r="B41" s="10">
        <v>46090</v>
      </c>
      <c r="C41" s="9" t="s">
        <v>100</v>
      </c>
      <c r="D41" s="11" t="s">
        <v>101</v>
      </c>
      <c r="E41" s="9" t="s">
        <v>30</v>
      </c>
      <c r="F41" s="9" t="s">
        <v>31</v>
      </c>
      <c r="G41" s="12">
        <v>88</v>
      </c>
      <c r="H41" s="11" t="s">
        <v>32</v>
      </c>
      <c r="I41" s="9" t="s">
        <v>67</v>
      </c>
      <c r="J41" s="12">
        <v>23800</v>
      </c>
      <c r="K41" s="12">
        <v>5</v>
      </c>
      <c r="L41" s="13">
        <v>6.2</v>
      </c>
      <c r="M41" s="9" t="s">
        <v>43</v>
      </c>
    </row>
    <row r="42" spans="1:13" x14ac:dyDescent="0.3">
      <c r="A42" s="9" t="s">
        <v>104</v>
      </c>
      <c r="B42" s="10">
        <v>46095</v>
      </c>
      <c r="C42" s="9" t="s">
        <v>77</v>
      </c>
      <c r="D42" s="11" t="s">
        <v>78</v>
      </c>
      <c r="E42" s="9" t="s">
        <v>30</v>
      </c>
      <c r="F42" s="9" t="s">
        <v>17</v>
      </c>
      <c r="G42" s="12">
        <v>56</v>
      </c>
      <c r="H42" s="11" t="s">
        <v>32</v>
      </c>
      <c r="I42" s="9" t="s">
        <v>67</v>
      </c>
      <c r="J42" s="12">
        <v>36500</v>
      </c>
      <c r="K42" s="12">
        <v>0</v>
      </c>
      <c r="L42" s="13">
        <v>2.7</v>
      </c>
      <c r="M42" s="9" t="s">
        <v>20</v>
      </c>
    </row>
    <row r="43" spans="1:13" x14ac:dyDescent="0.3">
      <c r="A43" s="9" t="s">
        <v>105</v>
      </c>
      <c r="B43" s="10">
        <v>46095</v>
      </c>
      <c r="C43" s="9" t="s">
        <v>41</v>
      </c>
      <c r="D43" s="11" t="s">
        <v>42</v>
      </c>
      <c r="E43" s="9" t="s">
        <v>16</v>
      </c>
      <c r="F43" s="9" t="s">
        <v>31</v>
      </c>
      <c r="G43" s="12">
        <v>13</v>
      </c>
      <c r="H43" s="11" t="s">
        <v>18</v>
      </c>
      <c r="I43" s="9" t="s">
        <v>19</v>
      </c>
      <c r="J43" s="12">
        <v>54500</v>
      </c>
      <c r="K43" s="12">
        <v>0</v>
      </c>
      <c r="L43" s="13">
        <v>5.2</v>
      </c>
      <c r="M43" s="9" t="s">
        <v>20</v>
      </c>
    </row>
    <row r="44" spans="1:13" x14ac:dyDescent="0.3">
      <c r="A44" s="9" t="s">
        <v>106</v>
      </c>
      <c r="B44" s="10">
        <v>46096</v>
      </c>
      <c r="C44" s="9" t="s">
        <v>77</v>
      </c>
      <c r="D44" s="11" t="s">
        <v>78</v>
      </c>
      <c r="E44" s="9" t="s">
        <v>30</v>
      </c>
      <c r="F44" s="9" t="s">
        <v>31</v>
      </c>
      <c r="G44" s="12">
        <v>81</v>
      </c>
      <c r="H44" s="11" t="s">
        <v>32</v>
      </c>
      <c r="I44" s="9" t="s">
        <v>67</v>
      </c>
      <c r="J44" s="12">
        <v>36500</v>
      </c>
      <c r="K44" s="12">
        <v>5</v>
      </c>
      <c r="L44" s="13">
        <v>6.7</v>
      </c>
      <c r="M44" s="9" t="s">
        <v>43</v>
      </c>
    </row>
    <row r="45" spans="1:13" x14ac:dyDescent="0.3">
      <c r="A45" s="9" t="s">
        <v>107</v>
      </c>
      <c r="B45" s="10">
        <v>46096</v>
      </c>
      <c r="C45" s="9" t="s">
        <v>108</v>
      </c>
      <c r="D45" s="11" t="s">
        <v>109</v>
      </c>
      <c r="E45" s="9" t="s">
        <v>36</v>
      </c>
      <c r="F45" s="9" t="s">
        <v>31</v>
      </c>
      <c r="G45" s="12">
        <v>26</v>
      </c>
      <c r="H45" s="11" t="s">
        <v>37</v>
      </c>
      <c r="I45" s="9" t="s">
        <v>38</v>
      </c>
      <c r="J45" s="12">
        <v>28500</v>
      </c>
      <c r="K45" s="12">
        <v>0</v>
      </c>
      <c r="L45" s="13">
        <v>10.7</v>
      </c>
      <c r="M45" s="9" t="s">
        <v>43</v>
      </c>
    </row>
    <row r="46" spans="1:13" x14ac:dyDescent="0.3">
      <c r="A46" s="9" t="s">
        <v>110</v>
      </c>
      <c r="B46" s="10">
        <v>46097</v>
      </c>
      <c r="C46" s="9" t="s">
        <v>100</v>
      </c>
      <c r="D46" s="11" t="s">
        <v>101</v>
      </c>
      <c r="E46" s="9" t="s">
        <v>30</v>
      </c>
      <c r="F46" s="9" t="s">
        <v>31</v>
      </c>
      <c r="G46" s="12">
        <v>82</v>
      </c>
      <c r="H46" s="11" t="s">
        <v>32</v>
      </c>
      <c r="I46" s="9" t="s">
        <v>67</v>
      </c>
      <c r="J46" s="12">
        <v>23800</v>
      </c>
      <c r="K46" s="12">
        <v>0</v>
      </c>
      <c r="L46" s="13">
        <v>2.2000000000000002</v>
      </c>
      <c r="M46" s="9" t="s">
        <v>20</v>
      </c>
    </row>
    <row r="47" spans="1:13" x14ac:dyDescent="0.3">
      <c r="A47" s="9" t="s">
        <v>111</v>
      </c>
      <c r="B47" s="10">
        <v>46101</v>
      </c>
      <c r="C47" s="9" t="s">
        <v>65</v>
      </c>
      <c r="D47" s="11" t="s">
        <v>66</v>
      </c>
      <c r="E47" s="9" t="s">
        <v>16</v>
      </c>
      <c r="F47" s="9" t="s">
        <v>31</v>
      </c>
      <c r="G47" s="12">
        <v>97</v>
      </c>
      <c r="H47" s="11" t="s">
        <v>18</v>
      </c>
      <c r="I47" s="9" t="s">
        <v>67</v>
      </c>
      <c r="J47" s="12">
        <v>12400</v>
      </c>
      <c r="K47" s="12">
        <v>0</v>
      </c>
      <c r="L47" s="13">
        <v>5.8</v>
      </c>
      <c r="M47" s="9" t="s">
        <v>20</v>
      </c>
    </row>
    <row r="48" spans="1:13" x14ac:dyDescent="0.3">
      <c r="A48" s="9" t="s">
        <v>112</v>
      </c>
      <c r="B48" s="10">
        <v>46102</v>
      </c>
      <c r="C48" s="9" t="s">
        <v>100</v>
      </c>
      <c r="D48" s="11" t="s">
        <v>101</v>
      </c>
      <c r="E48" s="9" t="s">
        <v>30</v>
      </c>
      <c r="F48" s="9" t="s">
        <v>17</v>
      </c>
      <c r="G48" s="12">
        <v>52</v>
      </c>
      <c r="H48" s="11" t="s">
        <v>32</v>
      </c>
      <c r="I48" s="9" t="s">
        <v>67</v>
      </c>
      <c r="J48" s="12">
        <v>23800</v>
      </c>
      <c r="K48" s="12">
        <v>0</v>
      </c>
      <c r="L48" s="13">
        <v>5.2</v>
      </c>
      <c r="M48" s="9" t="s">
        <v>20</v>
      </c>
    </row>
    <row r="49" spans="1:13" x14ac:dyDescent="0.3">
      <c r="A49" s="9" t="s">
        <v>113</v>
      </c>
      <c r="B49" s="10">
        <v>46105</v>
      </c>
      <c r="C49" s="9" t="s">
        <v>14</v>
      </c>
      <c r="D49" s="11" t="s">
        <v>15</v>
      </c>
      <c r="E49" s="9" t="s">
        <v>16</v>
      </c>
      <c r="F49" s="9" t="s">
        <v>17</v>
      </c>
      <c r="G49" s="12">
        <v>68</v>
      </c>
      <c r="H49" s="11" t="s">
        <v>18</v>
      </c>
      <c r="I49" s="9" t="s">
        <v>19</v>
      </c>
      <c r="J49" s="12">
        <v>6500</v>
      </c>
      <c r="K49" s="12">
        <v>1</v>
      </c>
      <c r="L49" s="13">
        <v>8.3000000000000007</v>
      </c>
      <c r="M49" s="9" t="s">
        <v>39</v>
      </c>
    </row>
    <row r="50" spans="1:13" x14ac:dyDescent="0.3">
      <c r="A50" s="9" t="s">
        <v>114</v>
      </c>
      <c r="B50" s="10">
        <v>46106</v>
      </c>
      <c r="C50" s="9" t="s">
        <v>115</v>
      </c>
      <c r="D50" s="11" t="s">
        <v>116</v>
      </c>
      <c r="E50" s="9" t="s">
        <v>36</v>
      </c>
      <c r="F50" s="9" t="s">
        <v>31</v>
      </c>
      <c r="G50" s="12">
        <v>10</v>
      </c>
      <c r="H50" s="11" t="s">
        <v>37</v>
      </c>
      <c r="I50" s="9" t="s">
        <v>63</v>
      </c>
      <c r="J50" s="12">
        <v>16800</v>
      </c>
      <c r="K50" s="12">
        <v>0</v>
      </c>
      <c r="L50" s="13">
        <v>4.5999999999999996</v>
      </c>
      <c r="M50" s="9" t="s">
        <v>20</v>
      </c>
    </row>
    <row r="51" spans="1:13" x14ac:dyDescent="0.3">
      <c r="A51" s="9" t="s">
        <v>117</v>
      </c>
      <c r="B51" s="10">
        <v>46108</v>
      </c>
      <c r="C51" s="9" t="s">
        <v>108</v>
      </c>
      <c r="D51" s="11" t="s">
        <v>109</v>
      </c>
      <c r="E51" s="9" t="s">
        <v>36</v>
      </c>
      <c r="F51" s="9" t="s">
        <v>17</v>
      </c>
      <c r="G51" s="12">
        <v>79</v>
      </c>
      <c r="H51" s="11" t="s">
        <v>37</v>
      </c>
      <c r="I51" s="9" t="s">
        <v>38</v>
      </c>
      <c r="J51" s="12">
        <v>28500</v>
      </c>
      <c r="K51" s="12">
        <v>0</v>
      </c>
      <c r="L51" s="13">
        <v>12.9</v>
      </c>
      <c r="M51" s="9" t="s">
        <v>43</v>
      </c>
    </row>
    <row r="52" spans="1:13" x14ac:dyDescent="0.3">
      <c r="A52" s="9" t="s">
        <v>118</v>
      </c>
      <c r="B52" s="10">
        <v>46114</v>
      </c>
      <c r="C52" s="9" t="s">
        <v>108</v>
      </c>
      <c r="D52" s="11" t="s">
        <v>109</v>
      </c>
      <c r="E52" s="9" t="s">
        <v>36</v>
      </c>
      <c r="F52" s="9" t="s">
        <v>31</v>
      </c>
      <c r="G52" s="12">
        <v>72</v>
      </c>
      <c r="H52" s="11" t="s">
        <v>37</v>
      </c>
      <c r="I52" s="9" t="s">
        <v>38</v>
      </c>
      <c r="J52" s="12">
        <v>28500</v>
      </c>
      <c r="K52" s="12">
        <v>4</v>
      </c>
      <c r="L52" s="13">
        <v>10.1</v>
      </c>
      <c r="M52" s="9" t="s">
        <v>39</v>
      </c>
    </row>
    <row r="53" spans="1:13" x14ac:dyDescent="0.3">
      <c r="A53" s="9" t="s">
        <v>119</v>
      </c>
      <c r="B53" s="10">
        <v>46115</v>
      </c>
      <c r="C53" s="9" t="s">
        <v>56</v>
      </c>
      <c r="D53" s="11" t="s">
        <v>57</v>
      </c>
      <c r="E53" s="9" t="s">
        <v>24</v>
      </c>
      <c r="F53" s="9" t="s">
        <v>31</v>
      </c>
      <c r="G53" s="12">
        <v>49</v>
      </c>
      <c r="H53" s="11" t="s">
        <v>25</v>
      </c>
      <c r="I53" s="9" t="s">
        <v>58</v>
      </c>
      <c r="J53" s="12">
        <v>3200</v>
      </c>
      <c r="K53" s="12">
        <v>0</v>
      </c>
      <c r="L53" s="13">
        <v>1.3</v>
      </c>
      <c r="M53" s="9" t="s">
        <v>20</v>
      </c>
    </row>
    <row r="54" spans="1:13" x14ac:dyDescent="0.3">
      <c r="A54" s="9" t="s">
        <v>120</v>
      </c>
      <c r="B54" s="10">
        <v>46116</v>
      </c>
      <c r="C54" s="9" t="s">
        <v>121</v>
      </c>
      <c r="D54" s="11" t="s">
        <v>122</v>
      </c>
      <c r="E54" s="9" t="s">
        <v>24</v>
      </c>
      <c r="F54" s="9" t="s">
        <v>31</v>
      </c>
      <c r="G54" s="12">
        <v>71</v>
      </c>
      <c r="H54" s="11" t="s">
        <v>25</v>
      </c>
      <c r="I54" s="9" t="s">
        <v>58</v>
      </c>
      <c r="J54" s="12">
        <v>18500</v>
      </c>
      <c r="K54" s="12">
        <v>0</v>
      </c>
      <c r="L54" s="13">
        <v>5.6</v>
      </c>
      <c r="M54" s="9" t="s">
        <v>20</v>
      </c>
    </row>
    <row r="55" spans="1:13" x14ac:dyDescent="0.3">
      <c r="A55" s="9" t="s">
        <v>123</v>
      </c>
      <c r="B55" s="10">
        <v>46117</v>
      </c>
      <c r="C55" s="9" t="s">
        <v>115</v>
      </c>
      <c r="D55" s="11" t="s">
        <v>116</v>
      </c>
      <c r="E55" s="9" t="s">
        <v>36</v>
      </c>
      <c r="F55" s="9" t="s">
        <v>17</v>
      </c>
      <c r="G55" s="12">
        <v>36</v>
      </c>
      <c r="H55" s="11" t="s">
        <v>37</v>
      </c>
      <c r="I55" s="9" t="s">
        <v>63</v>
      </c>
      <c r="J55" s="12">
        <v>16800</v>
      </c>
      <c r="K55" s="12">
        <v>1</v>
      </c>
      <c r="L55" s="13">
        <v>5.7</v>
      </c>
      <c r="M55" s="9" t="s">
        <v>43</v>
      </c>
    </row>
    <row r="56" spans="1:13" x14ac:dyDescent="0.3">
      <c r="A56" s="9" t="s">
        <v>124</v>
      </c>
      <c r="B56" s="10">
        <v>46118</v>
      </c>
      <c r="C56" s="9" t="s">
        <v>121</v>
      </c>
      <c r="D56" s="11" t="s">
        <v>122</v>
      </c>
      <c r="E56" s="9" t="s">
        <v>24</v>
      </c>
      <c r="F56" s="9" t="s">
        <v>17</v>
      </c>
      <c r="G56" s="12">
        <v>41</v>
      </c>
      <c r="H56" s="11" t="s">
        <v>25</v>
      </c>
      <c r="I56" s="9" t="s">
        <v>58</v>
      </c>
      <c r="J56" s="12">
        <v>18500</v>
      </c>
      <c r="K56" s="12">
        <v>0</v>
      </c>
      <c r="L56" s="13">
        <v>4</v>
      </c>
      <c r="M56" s="9" t="s">
        <v>20</v>
      </c>
    </row>
    <row r="57" spans="1:13" x14ac:dyDescent="0.3">
      <c r="A57" s="9" t="s">
        <v>125</v>
      </c>
      <c r="B57" s="10">
        <v>46119</v>
      </c>
      <c r="C57" s="9" t="s">
        <v>121</v>
      </c>
      <c r="D57" s="11" t="s">
        <v>122</v>
      </c>
      <c r="E57" s="9" t="s">
        <v>24</v>
      </c>
      <c r="F57" s="9" t="s">
        <v>17</v>
      </c>
      <c r="G57" s="12">
        <v>74</v>
      </c>
      <c r="H57" s="11" t="s">
        <v>25</v>
      </c>
      <c r="I57" s="9" t="s">
        <v>58</v>
      </c>
      <c r="J57" s="12">
        <v>18500</v>
      </c>
      <c r="K57" s="12">
        <v>0</v>
      </c>
      <c r="L57" s="13">
        <v>5.3</v>
      </c>
      <c r="M57" s="9" t="s">
        <v>20</v>
      </c>
    </row>
    <row r="58" spans="1:13" x14ac:dyDescent="0.3">
      <c r="A58" s="9" t="s">
        <v>126</v>
      </c>
      <c r="B58" s="10">
        <v>46122</v>
      </c>
      <c r="C58" s="9" t="s">
        <v>56</v>
      </c>
      <c r="D58" s="11" t="s">
        <v>57</v>
      </c>
      <c r="E58" s="9" t="s">
        <v>24</v>
      </c>
      <c r="F58" s="9" t="s">
        <v>31</v>
      </c>
      <c r="G58" s="12">
        <v>100</v>
      </c>
      <c r="H58" s="11" t="s">
        <v>25</v>
      </c>
      <c r="I58" s="9" t="s">
        <v>58</v>
      </c>
      <c r="J58" s="12">
        <v>3200</v>
      </c>
      <c r="K58" s="12">
        <v>0</v>
      </c>
      <c r="L58" s="13">
        <v>2.6</v>
      </c>
      <c r="M58" s="9" t="s">
        <v>20</v>
      </c>
    </row>
    <row r="59" spans="1:13" x14ac:dyDescent="0.3">
      <c r="A59" s="9" t="s">
        <v>127</v>
      </c>
      <c r="B59" s="10">
        <v>46125</v>
      </c>
      <c r="C59" s="9" t="s">
        <v>72</v>
      </c>
      <c r="D59" s="11" t="s">
        <v>73</v>
      </c>
      <c r="E59" s="9" t="s">
        <v>47</v>
      </c>
      <c r="F59" s="9" t="s">
        <v>17</v>
      </c>
      <c r="G59" s="12">
        <v>52</v>
      </c>
      <c r="H59" s="11" t="s">
        <v>48</v>
      </c>
      <c r="I59" s="9" t="s">
        <v>74</v>
      </c>
      <c r="J59" s="12">
        <v>3100</v>
      </c>
      <c r="K59" s="12">
        <v>4</v>
      </c>
      <c r="L59" s="13">
        <v>7.6</v>
      </c>
      <c r="M59" s="9" t="s">
        <v>39</v>
      </c>
    </row>
    <row r="60" spans="1:13" x14ac:dyDescent="0.3">
      <c r="A60" s="9" t="s">
        <v>128</v>
      </c>
      <c r="B60" s="10">
        <v>46129</v>
      </c>
      <c r="C60" s="9" t="s">
        <v>93</v>
      </c>
      <c r="D60" s="11" t="s">
        <v>94</v>
      </c>
      <c r="E60" s="9" t="s">
        <v>47</v>
      </c>
      <c r="F60" s="9" t="s">
        <v>17</v>
      </c>
      <c r="G60" s="12">
        <v>58</v>
      </c>
      <c r="H60" s="11" t="s">
        <v>48</v>
      </c>
      <c r="I60" s="9" t="s">
        <v>49</v>
      </c>
      <c r="J60" s="12">
        <v>14500</v>
      </c>
      <c r="K60" s="12">
        <v>0</v>
      </c>
      <c r="L60" s="13">
        <v>1.3</v>
      </c>
      <c r="M60" s="9" t="s">
        <v>20</v>
      </c>
    </row>
    <row r="61" spans="1:13" x14ac:dyDescent="0.3">
      <c r="A61" s="9" t="s">
        <v>129</v>
      </c>
      <c r="B61" s="10">
        <v>46129</v>
      </c>
      <c r="C61" s="9" t="s">
        <v>34</v>
      </c>
      <c r="D61" s="11" t="s">
        <v>35</v>
      </c>
      <c r="E61" s="9" t="s">
        <v>36</v>
      </c>
      <c r="F61" s="9" t="s">
        <v>17</v>
      </c>
      <c r="G61" s="12">
        <v>15</v>
      </c>
      <c r="H61" s="11" t="s">
        <v>37</v>
      </c>
      <c r="I61" s="9" t="s">
        <v>38</v>
      </c>
      <c r="J61" s="12">
        <v>13900</v>
      </c>
      <c r="K61" s="12">
        <v>0</v>
      </c>
      <c r="L61" s="13">
        <v>2.8</v>
      </c>
      <c r="M61" s="9" t="s">
        <v>20</v>
      </c>
    </row>
    <row r="62" spans="1:13" x14ac:dyDescent="0.3">
      <c r="A62" s="9" t="s">
        <v>130</v>
      </c>
      <c r="B62" s="10">
        <v>46131</v>
      </c>
      <c r="C62" s="9" t="s">
        <v>100</v>
      </c>
      <c r="D62" s="11" t="s">
        <v>101</v>
      </c>
      <c r="E62" s="9" t="s">
        <v>30</v>
      </c>
      <c r="F62" s="9" t="s">
        <v>31</v>
      </c>
      <c r="G62" s="12">
        <v>67</v>
      </c>
      <c r="H62" s="11" t="s">
        <v>32</v>
      </c>
      <c r="I62" s="9" t="s">
        <v>67</v>
      </c>
      <c r="J62" s="12">
        <v>23800</v>
      </c>
      <c r="K62" s="12">
        <v>0</v>
      </c>
      <c r="L62" s="13">
        <v>3.5</v>
      </c>
      <c r="M62" s="9" t="s">
        <v>20</v>
      </c>
    </row>
    <row r="63" spans="1:13" x14ac:dyDescent="0.3">
      <c r="A63" s="9" t="s">
        <v>131</v>
      </c>
      <c r="B63" s="10">
        <v>46133</v>
      </c>
      <c r="C63" s="9" t="s">
        <v>34</v>
      </c>
      <c r="D63" s="11" t="s">
        <v>35</v>
      </c>
      <c r="E63" s="9" t="s">
        <v>36</v>
      </c>
      <c r="F63" s="9" t="s">
        <v>31</v>
      </c>
      <c r="G63" s="12">
        <v>45</v>
      </c>
      <c r="H63" s="11" t="s">
        <v>37</v>
      </c>
      <c r="I63" s="9" t="s">
        <v>38</v>
      </c>
      <c r="J63" s="12">
        <v>13900</v>
      </c>
      <c r="K63" s="12">
        <v>0</v>
      </c>
      <c r="L63" s="13">
        <v>5</v>
      </c>
      <c r="M63" s="9" t="s">
        <v>20</v>
      </c>
    </row>
    <row r="64" spans="1:13" x14ac:dyDescent="0.3">
      <c r="A64" s="9" t="s">
        <v>132</v>
      </c>
      <c r="B64" s="10">
        <v>46133</v>
      </c>
      <c r="C64" s="9" t="s">
        <v>65</v>
      </c>
      <c r="D64" s="11" t="s">
        <v>66</v>
      </c>
      <c r="E64" s="9" t="s">
        <v>16</v>
      </c>
      <c r="F64" s="9" t="s">
        <v>17</v>
      </c>
      <c r="G64" s="12">
        <v>77</v>
      </c>
      <c r="H64" s="11" t="s">
        <v>18</v>
      </c>
      <c r="I64" s="9" t="s">
        <v>67</v>
      </c>
      <c r="J64" s="12">
        <v>12400</v>
      </c>
      <c r="K64" s="12">
        <v>0</v>
      </c>
      <c r="L64" s="13">
        <v>2.6</v>
      </c>
      <c r="M64" s="9" t="s">
        <v>20</v>
      </c>
    </row>
    <row r="65" spans="1:13" x14ac:dyDescent="0.3">
      <c r="A65" s="9" t="s">
        <v>133</v>
      </c>
      <c r="B65" s="10">
        <v>46134</v>
      </c>
      <c r="C65" s="9" t="s">
        <v>69</v>
      </c>
      <c r="D65" s="11" t="s">
        <v>70</v>
      </c>
      <c r="E65" s="9" t="s">
        <v>16</v>
      </c>
      <c r="F65" s="9" t="s">
        <v>17</v>
      </c>
      <c r="G65" s="12">
        <v>70</v>
      </c>
      <c r="H65" s="11" t="s">
        <v>18</v>
      </c>
      <c r="I65" s="9" t="s">
        <v>67</v>
      </c>
      <c r="J65" s="12">
        <v>7800</v>
      </c>
      <c r="K65" s="12">
        <v>0</v>
      </c>
      <c r="L65" s="13">
        <v>4.9000000000000004</v>
      </c>
      <c r="M65" s="9" t="s">
        <v>20</v>
      </c>
    </row>
    <row r="66" spans="1:13" x14ac:dyDescent="0.3">
      <c r="A66" s="9" t="s">
        <v>134</v>
      </c>
      <c r="B66" s="10">
        <v>46135</v>
      </c>
      <c r="C66" s="9" t="s">
        <v>65</v>
      </c>
      <c r="D66" s="11" t="s">
        <v>66</v>
      </c>
      <c r="E66" s="9" t="s">
        <v>16</v>
      </c>
      <c r="F66" s="9" t="s">
        <v>31</v>
      </c>
      <c r="G66" s="12">
        <v>40</v>
      </c>
      <c r="H66" s="11" t="s">
        <v>18</v>
      </c>
      <c r="I66" s="9" t="s">
        <v>67</v>
      </c>
      <c r="J66" s="12">
        <v>12400</v>
      </c>
      <c r="K66" s="12">
        <v>0</v>
      </c>
      <c r="L66" s="13">
        <v>5.8</v>
      </c>
      <c r="M66" s="9" t="s">
        <v>20</v>
      </c>
    </row>
    <row r="67" spans="1:13" x14ac:dyDescent="0.3">
      <c r="A67" s="9" t="s">
        <v>135</v>
      </c>
      <c r="B67" s="10">
        <v>46136</v>
      </c>
      <c r="C67" s="9" t="s">
        <v>14</v>
      </c>
      <c r="D67" s="11" t="s">
        <v>15</v>
      </c>
      <c r="E67" s="9" t="s">
        <v>16</v>
      </c>
      <c r="F67" s="9" t="s">
        <v>17</v>
      </c>
      <c r="G67" s="12">
        <v>65</v>
      </c>
      <c r="H67" s="11" t="s">
        <v>18</v>
      </c>
      <c r="I67" s="9" t="s">
        <v>19</v>
      </c>
      <c r="J67" s="12">
        <v>6500</v>
      </c>
      <c r="K67" s="12">
        <v>0</v>
      </c>
      <c r="L67" s="13">
        <v>2.1</v>
      </c>
      <c r="M67" s="9" t="s">
        <v>20</v>
      </c>
    </row>
    <row r="68" spans="1:13" x14ac:dyDescent="0.3">
      <c r="A68" s="9" t="s">
        <v>136</v>
      </c>
      <c r="B68" s="10">
        <v>46139</v>
      </c>
      <c r="C68" s="9" t="s">
        <v>69</v>
      </c>
      <c r="D68" s="11" t="s">
        <v>70</v>
      </c>
      <c r="E68" s="9" t="s">
        <v>16</v>
      </c>
      <c r="F68" s="9" t="s">
        <v>31</v>
      </c>
      <c r="G68" s="12">
        <v>24</v>
      </c>
      <c r="H68" s="11" t="s">
        <v>18</v>
      </c>
      <c r="I68" s="9" t="s">
        <v>67</v>
      </c>
      <c r="J68" s="12">
        <v>7800</v>
      </c>
      <c r="K68" s="12">
        <v>0</v>
      </c>
      <c r="L68" s="13">
        <v>10.5</v>
      </c>
      <c r="M68" s="9" t="s">
        <v>43</v>
      </c>
    </row>
    <row r="69" spans="1:13" x14ac:dyDescent="0.3">
      <c r="A69" s="9" t="s">
        <v>137</v>
      </c>
      <c r="B69" s="10">
        <v>46145</v>
      </c>
      <c r="C69" s="9" t="s">
        <v>93</v>
      </c>
      <c r="D69" s="11" t="s">
        <v>94</v>
      </c>
      <c r="E69" s="9" t="s">
        <v>47</v>
      </c>
      <c r="F69" s="9" t="s">
        <v>17</v>
      </c>
      <c r="G69" s="12">
        <v>100</v>
      </c>
      <c r="H69" s="11" t="s">
        <v>48</v>
      </c>
      <c r="I69" s="9" t="s">
        <v>49</v>
      </c>
      <c r="J69" s="12">
        <v>14500</v>
      </c>
      <c r="K69" s="12">
        <v>2</v>
      </c>
      <c r="L69" s="13">
        <v>4</v>
      </c>
      <c r="M69" s="9" t="s">
        <v>20</v>
      </c>
    </row>
    <row r="70" spans="1:13" x14ac:dyDescent="0.3">
      <c r="A70" s="9" t="s">
        <v>138</v>
      </c>
      <c r="B70" s="10">
        <v>46147</v>
      </c>
      <c r="C70" s="9" t="s">
        <v>100</v>
      </c>
      <c r="D70" s="11" t="s">
        <v>101</v>
      </c>
      <c r="E70" s="9" t="s">
        <v>30</v>
      </c>
      <c r="F70" s="9" t="s">
        <v>17</v>
      </c>
      <c r="G70" s="12">
        <v>16</v>
      </c>
      <c r="H70" s="11" t="s">
        <v>32</v>
      </c>
      <c r="I70" s="9" t="s">
        <v>67</v>
      </c>
      <c r="J70" s="12">
        <v>23800</v>
      </c>
      <c r="K70" s="12">
        <v>0</v>
      </c>
      <c r="L70" s="13">
        <v>10</v>
      </c>
      <c r="M70" s="9" t="s">
        <v>39</v>
      </c>
    </row>
    <row r="71" spans="1:13" x14ac:dyDescent="0.3">
      <c r="A71" s="9" t="s">
        <v>139</v>
      </c>
      <c r="B71" s="10">
        <v>46148</v>
      </c>
      <c r="C71" s="9" t="s">
        <v>28</v>
      </c>
      <c r="D71" s="11" t="s">
        <v>29</v>
      </c>
      <c r="E71" s="9" t="s">
        <v>30</v>
      </c>
      <c r="F71" s="9" t="s">
        <v>31</v>
      </c>
      <c r="G71" s="12">
        <v>45</v>
      </c>
      <c r="H71" s="11" t="s">
        <v>32</v>
      </c>
      <c r="I71" s="9" t="s">
        <v>19</v>
      </c>
      <c r="J71" s="12">
        <v>68500</v>
      </c>
      <c r="K71" s="12">
        <v>0</v>
      </c>
      <c r="L71" s="13">
        <v>2.7</v>
      </c>
      <c r="M71" s="9" t="s">
        <v>20</v>
      </c>
    </row>
    <row r="72" spans="1:13" x14ac:dyDescent="0.3">
      <c r="A72" s="9" t="s">
        <v>140</v>
      </c>
      <c r="B72" s="10">
        <v>46149</v>
      </c>
      <c r="C72" s="9" t="s">
        <v>141</v>
      </c>
      <c r="D72" s="11" t="s">
        <v>142</v>
      </c>
      <c r="E72" s="9" t="s">
        <v>47</v>
      </c>
      <c r="F72" s="9" t="s">
        <v>17</v>
      </c>
      <c r="G72" s="12">
        <v>21</v>
      </c>
      <c r="H72" s="11" t="s">
        <v>48</v>
      </c>
      <c r="I72" s="9" t="s">
        <v>74</v>
      </c>
      <c r="J72" s="12">
        <v>9800</v>
      </c>
      <c r="K72" s="12">
        <v>0</v>
      </c>
      <c r="L72" s="13">
        <v>17</v>
      </c>
      <c r="M72" s="9" t="s">
        <v>39</v>
      </c>
    </row>
    <row r="73" spans="1:13" x14ac:dyDescent="0.3">
      <c r="A73" s="9" t="s">
        <v>143</v>
      </c>
      <c r="B73" s="10">
        <v>46149</v>
      </c>
      <c r="C73" s="9" t="s">
        <v>61</v>
      </c>
      <c r="D73" s="11" t="s">
        <v>62</v>
      </c>
      <c r="E73" s="9" t="s">
        <v>36</v>
      </c>
      <c r="F73" s="9" t="s">
        <v>31</v>
      </c>
      <c r="G73" s="12">
        <v>44</v>
      </c>
      <c r="H73" s="11" t="s">
        <v>37</v>
      </c>
      <c r="I73" s="9" t="s">
        <v>63</v>
      </c>
      <c r="J73" s="12">
        <v>22400</v>
      </c>
      <c r="K73" s="12">
        <v>0</v>
      </c>
      <c r="L73" s="13">
        <v>6.3</v>
      </c>
      <c r="M73" s="9" t="s">
        <v>20</v>
      </c>
    </row>
    <row r="74" spans="1:13" x14ac:dyDescent="0.3">
      <c r="A74" s="9" t="s">
        <v>144</v>
      </c>
      <c r="B74" s="10">
        <v>46149</v>
      </c>
      <c r="C74" s="9" t="s">
        <v>115</v>
      </c>
      <c r="D74" s="11" t="s">
        <v>116</v>
      </c>
      <c r="E74" s="9" t="s">
        <v>36</v>
      </c>
      <c r="F74" s="9" t="s">
        <v>31</v>
      </c>
      <c r="G74" s="12">
        <v>22</v>
      </c>
      <c r="H74" s="11" t="s">
        <v>37</v>
      </c>
      <c r="I74" s="9" t="s">
        <v>63</v>
      </c>
      <c r="J74" s="12">
        <v>16800</v>
      </c>
      <c r="K74" s="12">
        <v>0</v>
      </c>
      <c r="L74" s="13">
        <v>4.5</v>
      </c>
      <c r="M74" s="9" t="s">
        <v>20</v>
      </c>
    </row>
    <row r="75" spans="1:13" x14ac:dyDescent="0.3">
      <c r="A75" s="9" t="s">
        <v>145</v>
      </c>
      <c r="B75" s="10">
        <v>46152</v>
      </c>
      <c r="C75" s="9" t="s">
        <v>115</v>
      </c>
      <c r="D75" s="11" t="s">
        <v>116</v>
      </c>
      <c r="E75" s="9" t="s">
        <v>36</v>
      </c>
      <c r="F75" s="9" t="s">
        <v>31</v>
      </c>
      <c r="G75" s="12">
        <v>23</v>
      </c>
      <c r="H75" s="11" t="s">
        <v>37</v>
      </c>
      <c r="I75" s="9" t="s">
        <v>63</v>
      </c>
      <c r="J75" s="12">
        <v>16800</v>
      </c>
      <c r="K75" s="12">
        <v>0</v>
      </c>
      <c r="L75" s="13">
        <v>5.2</v>
      </c>
      <c r="M75" s="9" t="s">
        <v>20</v>
      </c>
    </row>
    <row r="76" spans="1:13" x14ac:dyDescent="0.3">
      <c r="A76" s="9" t="s">
        <v>146</v>
      </c>
      <c r="B76" s="10">
        <v>46153</v>
      </c>
      <c r="C76" s="9" t="s">
        <v>69</v>
      </c>
      <c r="D76" s="11" t="s">
        <v>70</v>
      </c>
      <c r="E76" s="9" t="s">
        <v>16</v>
      </c>
      <c r="F76" s="9" t="s">
        <v>31</v>
      </c>
      <c r="G76" s="12">
        <v>44</v>
      </c>
      <c r="H76" s="11" t="s">
        <v>18</v>
      </c>
      <c r="I76" s="9" t="s">
        <v>67</v>
      </c>
      <c r="J76" s="12">
        <v>7800</v>
      </c>
      <c r="K76" s="12">
        <v>0</v>
      </c>
      <c r="L76" s="13">
        <v>3.8</v>
      </c>
      <c r="M76" s="9" t="s">
        <v>20</v>
      </c>
    </row>
    <row r="77" spans="1:13" x14ac:dyDescent="0.3">
      <c r="A77" s="9" t="s">
        <v>147</v>
      </c>
      <c r="B77" s="10">
        <v>46154</v>
      </c>
      <c r="C77" s="9" t="s">
        <v>22</v>
      </c>
      <c r="D77" s="11" t="s">
        <v>23</v>
      </c>
      <c r="E77" s="9" t="s">
        <v>24</v>
      </c>
      <c r="F77" s="9" t="s">
        <v>31</v>
      </c>
      <c r="G77" s="12">
        <v>20</v>
      </c>
      <c r="H77" s="11" t="s">
        <v>25</v>
      </c>
      <c r="I77" s="9" t="s">
        <v>26</v>
      </c>
      <c r="J77" s="12">
        <v>11200</v>
      </c>
      <c r="K77" s="12">
        <v>0</v>
      </c>
      <c r="L77" s="13">
        <v>3.3</v>
      </c>
      <c r="M77" s="9" t="s">
        <v>20</v>
      </c>
    </row>
    <row r="78" spans="1:13" x14ac:dyDescent="0.3">
      <c r="A78" s="9" t="s">
        <v>148</v>
      </c>
      <c r="B78" s="10">
        <v>46156</v>
      </c>
      <c r="C78" s="9" t="s">
        <v>115</v>
      </c>
      <c r="D78" s="11" t="s">
        <v>116</v>
      </c>
      <c r="E78" s="9" t="s">
        <v>36</v>
      </c>
      <c r="F78" s="9" t="s">
        <v>17</v>
      </c>
      <c r="G78" s="12">
        <v>19</v>
      </c>
      <c r="H78" s="11" t="s">
        <v>37</v>
      </c>
      <c r="I78" s="9" t="s">
        <v>63</v>
      </c>
      <c r="J78" s="12">
        <v>16800</v>
      </c>
      <c r="K78" s="12">
        <v>0</v>
      </c>
      <c r="L78" s="13">
        <v>5.8</v>
      </c>
      <c r="M78" s="9" t="s">
        <v>20</v>
      </c>
    </row>
    <row r="79" spans="1:13" x14ac:dyDescent="0.3">
      <c r="A79" s="9" t="s">
        <v>149</v>
      </c>
      <c r="B79" s="10">
        <v>46156</v>
      </c>
      <c r="C79" s="9" t="s">
        <v>72</v>
      </c>
      <c r="D79" s="11" t="s">
        <v>73</v>
      </c>
      <c r="E79" s="9" t="s">
        <v>47</v>
      </c>
      <c r="F79" s="9" t="s">
        <v>17</v>
      </c>
      <c r="G79" s="12">
        <v>71</v>
      </c>
      <c r="H79" s="11" t="s">
        <v>48</v>
      </c>
      <c r="I79" s="9" t="s">
        <v>74</v>
      </c>
      <c r="J79" s="12">
        <v>3100</v>
      </c>
      <c r="K79" s="12">
        <v>0</v>
      </c>
      <c r="L79" s="13">
        <v>4.2</v>
      </c>
      <c r="M79" s="9" t="s">
        <v>20</v>
      </c>
    </row>
    <row r="80" spans="1:13" x14ac:dyDescent="0.3">
      <c r="A80" s="9" t="s">
        <v>150</v>
      </c>
      <c r="B80" s="10">
        <v>46159</v>
      </c>
      <c r="C80" s="9" t="s">
        <v>65</v>
      </c>
      <c r="D80" s="11" t="s">
        <v>66</v>
      </c>
      <c r="E80" s="9" t="s">
        <v>16</v>
      </c>
      <c r="F80" s="9" t="s">
        <v>31</v>
      </c>
      <c r="G80" s="12">
        <v>89</v>
      </c>
      <c r="H80" s="11" t="s">
        <v>18</v>
      </c>
      <c r="I80" s="9" t="s">
        <v>67</v>
      </c>
      <c r="J80" s="12">
        <v>12400</v>
      </c>
      <c r="K80" s="12">
        <v>0</v>
      </c>
      <c r="L80" s="13">
        <v>15</v>
      </c>
      <c r="M80" s="9" t="s">
        <v>39</v>
      </c>
    </row>
    <row r="81" spans="1:13" x14ac:dyDescent="0.3">
      <c r="A81" s="9" t="s">
        <v>151</v>
      </c>
      <c r="B81" s="10">
        <v>46164</v>
      </c>
      <c r="C81" s="9" t="s">
        <v>14</v>
      </c>
      <c r="D81" s="11" t="s">
        <v>15</v>
      </c>
      <c r="E81" s="9" t="s">
        <v>16</v>
      </c>
      <c r="F81" s="9" t="s">
        <v>31</v>
      </c>
      <c r="G81" s="12">
        <v>72</v>
      </c>
      <c r="H81" s="11" t="s">
        <v>18</v>
      </c>
      <c r="I81" s="9" t="s">
        <v>19</v>
      </c>
      <c r="J81" s="12">
        <v>6500</v>
      </c>
      <c r="K81" s="12">
        <v>0</v>
      </c>
      <c r="L81" s="13">
        <v>2.7</v>
      </c>
      <c r="M81" s="9" t="s">
        <v>20</v>
      </c>
    </row>
    <row r="82" spans="1:13" x14ac:dyDescent="0.3">
      <c r="A82" s="9" t="s">
        <v>152</v>
      </c>
      <c r="B82" s="10">
        <v>46164</v>
      </c>
      <c r="C82" s="9" t="s">
        <v>61</v>
      </c>
      <c r="D82" s="11" t="s">
        <v>62</v>
      </c>
      <c r="E82" s="9" t="s">
        <v>36</v>
      </c>
      <c r="F82" s="9" t="s">
        <v>31</v>
      </c>
      <c r="G82" s="12">
        <v>41</v>
      </c>
      <c r="H82" s="11" t="s">
        <v>37</v>
      </c>
      <c r="I82" s="9" t="s">
        <v>63</v>
      </c>
      <c r="J82" s="12">
        <v>22400</v>
      </c>
      <c r="K82" s="12">
        <v>0</v>
      </c>
      <c r="L82" s="13">
        <v>6.4</v>
      </c>
      <c r="M82" s="9" t="s">
        <v>20</v>
      </c>
    </row>
    <row r="83" spans="1:13" x14ac:dyDescent="0.3">
      <c r="A83" s="9" t="s">
        <v>153</v>
      </c>
      <c r="B83" s="10">
        <v>46167</v>
      </c>
      <c r="C83" s="9" t="s">
        <v>14</v>
      </c>
      <c r="D83" s="11" t="s">
        <v>15</v>
      </c>
      <c r="E83" s="9" t="s">
        <v>16</v>
      </c>
      <c r="F83" s="9" t="s">
        <v>17</v>
      </c>
      <c r="G83" s="12">
        <v>28</v>
      </c>
      <c r="H83" s="11" t="s">
        <v>18</v>
      </c>
      <c r="I83" s="9" t="s">
        <v>19</v>
      </c>
      <c r="J83" s="12">
        <v>6500</v>
      </c>
      <c r="K83" s="12">
        <v>0</v>
      </c>
      <c r="L83" s="13">
        <v>2.9</v>
      </c>
      <c r="M83" s="9" t="s">
        <v>20</v>
      </c>
    </row>
    <row r="84" spans="1:13" x14ac:dyDescent="0.3">
      <c r="A84" s="9" t="s">
        <v>154</v>
      </c>
      <c r="B84" s="10">
        <v>46168</v>
      </c>
      <c r="C84" s="9" t="s">
        <v>77</v>
      </c>
      <c r="D84" s="11" t="s">
        <v>78</v>
      </c>
      <c r="E84" s="9" t="s">
        <v>30</v>
      </c>
      <c r="F84" s="9" t="s">
        <v>31</v>
      </c>
      <c r="G84" s="12">
        <v>91</v>
      </c>
      <c r="H84" s="11" t="s">
        <v>32</v>
      </c>
      <c r="I84" s="9" t="s">
        <v>67</v>
      </c>
      <c r="J84" s="12">
        <v>36500</v>
      </c>
      <c r="K84" s="12">
        <v>0</v>
      </c>
      <c r="L84" s="13">
        <v>2.8</v>
      </c>
      <c r="M84" s="9" t="s">
        <v>20</v>
      </c>
    </row>
    <row r="85" spans="1:13" x14ac:dyDescent="0.3">
      <c r="A85" s="9" t="s">
        <v>155</v>
      </c>
      <c r="B85" s="10">
        <v>46168</v>
      </c>
      <c r="C85" s="9" t="s">
        <v>65</v>
      </c>
      <c r="D85" s="11" t="s">
        <v>66</v>
      </c>
      <c r="E85" s="9" t="s">
        <v>16</v>
      </c>
      <c r="F85" s="9" t="s">
        <v>31</v>
      </c>
      <c r="G85" s="12">
        <v>76</v>
      </c>
      <c r="H85" s="11" t="s">
        <v>18</v>
      </c>
      <c r="I85" s="9" t="s">
        <v>67</v>
      </c>
      <c r="J85" s="12">
        <v>12400</v>
      </c>
      <c r="K85" s="12">
        <v>0</v>
      </c>
      <c r="L85" s="13">
        <v>4.0999999999999996</v>
      </c>
      <c r="M85" s="9" t="s">
        <v>20</v>
      </c>
    </row>
    <row r="86" spans="1:13" x14ac:dyDescent="0.3">
      <c r="A86" s="9" t="s">
        <v>156</v>
      </c>
      <c r="B86" s="10">
        <v>46176</v>
      </c>
      <c r="C86" s="9" t="s">
        <v>108</v>
      </c>
      <c r="D86" s="11" t="s">
        <v>109</v>
      </c>
      <c r="E86" s="9" t="s">
        <v>36</v>
      </c>
      <c r="F86" s="9" t="s">
        <v>31</v>
      </c>
      <c r="G86" s="12">
        <v>15</v>
      </c>
      <c r="H86" s="11" t="s">
        <v>37</v>
      </c>
      <c r="I86" s="9" t="s">
        <v>38</v>
      </c>
      <c r="J86" s="12">
        <v>28500</v>
      </c>
      <c r="K86" s="12">
        <v>0</v>
      </c>
      <c r="L86" s="13">
        <v>2.1</v>
      </c>
      <c r="M86" s="9" t="s">
        <v>20</v>
      </c>
    </row>
    <row r="87" spans="1:13" x14ac:dyDescent="0.3">
      <c r="A87" s="9" t="s">
        <v>157</v>
      </c>
      <c r="B87" s="10">
        <v>46180</v>
      </c>
      <c r="C87" s="9" t="s">
        <v>93</v>
      </c>
      <c r="D87" s="11" t="s">
        <v>94</v>
      </c>
      <c r="E87" s="9" t="s">
        <v>47</v>
      </c>
      <c r="F87" s="9" t="s">
        <v>17</v>
      </c>
      <c r="G87" s="12">
        <v>100</v>
      </c>
      <c r="H87" s="11" t="s">
        <v>48</v>
      </c>
      <c r="I87" s="9" t="s">
        <v>49</v>
      </c>
      <c r="J87" s="12">
        <v>14500</v>
      </c>
      <c r="K87" s="12">
        <v>1</v>
      </c>
      <c r="L87" s="13">
        <v>3.6</v>
      </c>
      <c r="M87" s="9" t="s">
        <v>20</v>
      </c>
    </row>
    <row r="88" spans="1:13" x14ac:dyDescent="0.3">
      <c r="A88" s="9" t="s">
        <v>158</v>
      </c>
      <c r="B88" s="10">
        <v>46181</v>
      </c>
      <c r="C88" s="9" t="s">
        <v>22</v>
      </c>
      <c r="D88" s="11" t="s">
        <v>23</v>
      </c>
      <c r="E88" s="9" t="s">
        <v>24</v>
      </c>
      <c r="F88" s="9" t="s">
        <v>31</v>
      </c>
      <c r="G88" s="12">
        <v>40</v>
      </c>
      <c r="H88" s="11" t="s">
        <v>25</v>
      </c>
      <c r="I88" s="9" t="s">
        <v>26</v>
      </c>
      <c r="J88" s="12">
        <v>11200</v>
      </c>
      <c r="K88" s="12">
        <v>0</v>
      </c>
      <c r="L88" s="13">
        <v>3.7</v>
      </c>
      <c r="M88" s="9" t="s">
        <v>20</v>
      </c>
    </row>
    <row r="89" spans="1:13" x14ac:dyDescent="0.3">
      <c r="A89" s="9" t="s">
        <v>159</v>
      </c>
      <c r="B89" s="10">
        <v>46181</v>
      </c>
      <c r="C89" s="9" t="s">
        <v>22</v>
      </c>
      <c r="D89" s="11" t="s">
        <v>23</v>
      </c>
      <c r="E89" s="9" t="s">
        <v>24</v>
      </c>
      <c r="F89" s="9" t="s">
        <v>31</v>
      </c>
      <c r="G89" s="12">
        <v>76</v>
      </c>
      <c r="H89" s="11" t="s">
        <v>25</v>
      </c>
      <c r="I89" s="9" t="s">
        <v>26</v>
      </c>
      <c r="J89" s="12">
        <v>11200</v>
      </c>
      <c r="K89" s="12">
        <v>0</v>
      </c>
      <c r="L89" s="13">
        <v>1.7</v>
      </c>
      <c r="M89" s="9" t="s">
        <v>20</v>
      </c>
    </row>
    <row r="90" spans="1:13" x14ac:dyDescent="0.3">
      <c r="A90" s="9" t="s">
        <v>160</v>
      </c>
      <c r="B90" s="10">
        <v>46183</v>
      </c>
      <c r="C90" s="9" t="s">
        <v>69</v>
      </c>
      <c r="D90" s="11" t="s">
        <v>70</v>
      </c>
      <c r="E90" s="9" t="s">
        <v>16</v>
      </c>
      <c r="F90" s="9" t="s">
        <v>17</v>
      </c>
      <c r="G90" s="12">
        <v>67</v>
      </c>
      <c r="H90" s="11" t="s">
        <v>18</v>
      </c>
      <c r="I90" s="9" t="s">
        <v>67</v>
      </c>
      <c r="J90" s="12">
        <v>7800</v>
      </c>
      <c r="K90" s="12">
        <v>0</v>
      </c>
      <c r="L90" s="13">
        <v>5.9</v>
      </c>
      <c r="M90" s="9" t="s">
        <v>20</v>
      </c>
    </row>
    <row r="91" spans="1:13" x14ac:dyDescent="0.3">
      <c r="A91" s="9" t="s">
        <v>161</v>
      </c>
      <c r="B91" s="10">
        <v>46185</v>
      </c>
      <c r="C91" s="9" t="s">
        <v>34</v>
      </c>
      <c r="D91" s="11" t="s">
        <v>35</v>
      </c>
      <c r="E91" s="9" t="s">
        <v>36</v>
      </c>
      <c r="F91" s="9" t="s">
        <v>31</v>
      </c>
      <c r="G91" s="12">
        <v>69</v>
      </c>
      <c r="H91" s="11" t="s">
        <v>37</v>
      </c>
      <c r="I91" s="9" t="s">
        <v>38</v>
      </c>
      <c r="J91" s="12">
        <v>13900</v>
      </c>
      <c r="K91" s="12">
        <v>0</v>
      </c>
      <c r="L91" s="13">
        <v>5</v>
      </c>
      <c r="M91" s="9" t="s">
        <v>20</v>
      </c>
    </row>
    <row r="92" spans="1:13" x14ac:dyDescent="0.3">
      <c r="A92" s="9" t="s">
        <v>162</v>
      </c>
      <c r="B92" s="10">
        <v>46189</v>
      </c>
      <c r="C92" s="9" t="s">
        <v>28</v>
      </c>
      <c r="D92" s="11" t="s">
        <v>29</v>
      </c>
      <c r="E92" s="9" t="s">
        <v>30</v>
      </c>
      <c r="F92" s="9" t="s">
        <v>31</v>
      </c>
      <c r="G92" s="12">
        <v>5</v>
      </c>
      <c r="H92" s="11" t="s">
        <v>32</v>
      </c>
      <c r="I92" s="9" t="s">
        <v>19</v>
      </c>
      <c r="J92" s="12">
        <v>68500</v>
      </c>
      <c r="K92" s="12">
        <v>0</v>
      </c>
      <c r="L92" s="13">
        <v>5.8</v>
      </c>
      <c r="M92" s="9" t="s">
        <v>20</v>
      </c>
    </row>
    <row r="93" spans="1:13" x14ac:dyDescent="0.3">
      <c r="A93" s="9" t="s">
        <v>163</v>
      </c>
      <c r="B93" s="10">
        <v>46190</v>
      </c>
      <c r="C93" s="9" t="s">
        <v>100</v>
      </c>
      <c r="D93" s="11" t="s">
        <v>101</v>
      </c>
      <c r="E93" s="9" t="s">
        <v>30</v>
      </c>
      <c r="F93" s="9" t="s">
        <v>17</v>
      </c>
      <c r="G93" s="12">
        <v>65</v>
      </c>
      <c r="H93" s="11" t="s">
        <v>32</v>
      </c>
      <c r="I93" s="9" t="s">
        <v>67</v>
      </c>
      <c r="J93" s="12">
        <v>23800</v>
      </c>
      <c r="K93" s="12">
        <v>0</v>
      </c>
      <c r="L93" s="13">
        <v>3.9</v>
      </c>
      <c r="M93" s="9" t="s">
        <v>20</v>
      </c>
    </row>
    <row r="94" spans="1:13" x14ac:dyDescent="0.3">
      <c r="A94" s="9" t="s">
        <v>164</v>
      </c>
      <c r="B94" s="10">
        <v>46192</v>
      </c>
      <c r="C94" s="9" t="s">
        <v>72</v>
      </c>
      <c r="D94" s="11" t="s">
        <v>73</v>
      </c>
      <c r="E94" s="9" t="s">
        <v>47</v>
      </c>
      <c r="F94" s="9" t="s">
        <v>17</v>
      </c>
      <c r="G94" s="12">
        <v>65</v>
      </c>
      <c r="H94" s="11" t="s">
        <v>48</v>
      </c>
      <c r="I94" s="9" t="s">
        <v>74</v>
      </c>
      <c r="J94" s="12">
        <v>3100</v>
      </c>
      <c r="K94" s="12">
        <v>0</v>
      </c>
      <c r="L94" s="13">
        <v>2.7</v>
      </c>
      <c r="M94" s="9" t="s">
        <v>20</v>
      </c>
    </row>
    <row r="95" spans="1:13" x14ac:dyDescent="0.3">
      <c r="A95" s="9" t="s">
        <v>165</v>
      </c>
      <c r="B95" s="10">
        <v>46192</v>
      </c>
      <c r="C95" s="9" t="s">
        <v>72</v>
      </c>
      <c r="D95" s="11" t="s">
        <v>73</v>
      </c>
      <c r="E95" s="9" t="s">
        <v>47</v>
      </c>
      <c r="F95" s="9" t="s">
        <v>17</v>
      </c>
      <c r="G95" s="12">
        <v>94</v>
      </c>
      <c r="H95" s="11" t="s">
        <v>48</v>
      </c>
      <c r="I95" s="9" t="s">
        <v>74</v>
      </c>
      <c r="J95" s="12">
        <v>3100</v>
      </c>
      <c r="K95" s="12">
        <v>0</v>
      </c>
      <c r="L95" s="13">
        <v>6.2</v>
      </c>
      <c r="M95" s="9" t="s">
        <v>20</v>
      </c>
    </row>
    <row r="96" spans="1:13" x14ac:dyDescent="0.3">
      <c r="A96" s="9" t="s">
        <v>166</v>
      </c>
      <c r="B96" s="10">
        <v>46193</v>
      </c>
      <c r="C96" s="9" t="s">
        <v>141</v>
      </c>
      <c r="D96" s="11" t="s">
        <v>142</v>
      </c>
      <c r="E96" s="9" t="s">
        <v>47</v>
      </c>
      <c r="F96" s="9" t="s">
        <v>31</v>
      </c>
      <c r="G96" s="12">
        <v>72</v>
      </c>
      <c r="H96" s="11" t="s">
        <v>48</v>
      </c>
      <c r="I96" s="9" t="s">
        <v>74</v>
      </c>
      <c r="J96" s="12">
        <v>9800</v>
      </c>
      <c r="K96" s="12">
        <v>0</v>
      </c>
      <c r="L96" s="13">
        <v>14</v>
      </c>
      <c r="M96" s="9" t="s">
        <v>39</v>
      </c>
    </row>
    <row r="97" spans="1:13" x14ac:dyDescent="0.3">
      <c r="A97" s="9" t="s">
        <v>167</v>
      </c>
      <c r="B97" s="10">
        <v>46194</v>
      </c>
      <c r="C97" s="9" t="s">
        <v>45</v>
      </c>
      <c r="D97" s="11" t="s">
        <v>46</v>
      </c>
      <c r="E97" s="9" t="s">
        <v>47</v>
      </c>
      <c r="F97" s="9" t="s">
        <v>17</v>
      </c>
      <c r="G97" s="12">
        <v>63</v>
      </c>
      <c r="H97" s="11" t="s">
        <v>48</v>
      </c>
      <c r="I97" s="9" t="s">
        <v>49</v>
      </c>
      <c r="J97" s="12">
        <v>17200</v>
      </c>
      <c r="K97" s="12">
        <v>0</v>
      </c>
      <c r="L97" s="13">
        <v>1.7</v>
      </c>
      <c r="M97" s="9" t="s">
        <v>20</v>
      </c>
    </row>
    <row r="98" spans="1:13" x14ac:dyDescent="0.3">
      <c r="A98" s="9" t="s">
        <v>168</v>
      </c>
      <c r="B98" s="10">
        <v>46196</v>
      </c>
      <c r="C98" s="9" t="s">
        <v>45</v>
      </c>
      <c r="D98" s="11" t="s">
        <v>46</v>
      </c>
      <c r="E98" s="9" t="s">
        <v>47</v>
      </c>
      <c r="F98" s="9" t="s">
        <v>17</v>
      </c>
      <c r="G98" s="12">
        <v>100</v>
      </c>
      <c r="H98" s="11" t="s">
        <v>48</v>
      </c>
      <c r="I98" s="9" t="s">
        <v>49</v>
      </c>
      <c r="J98" s="12">
        <v>17200</v>
      </c>
      <c r="K98" s="12">
        <v>0</v>
      </c>
      <c r="L98" s="13">
        <v>5.5</v>
      </c>
      <c r="M98" s="9" t="s">
        <v>20</v>
      </c>
    </row>
    <row r="99" spans="1:13" x14ac:dyDescent="0.3">
      <c r="A99" s="9" t="s">
        <v>169</v>
      </c>
      <c r="B99" s="10">
        <v>46197</v>
      </c>
      <c r="C99" s="9" t="s">
        <v>65</v>
      </c>
      <c r="D99" s="11" t="s">
        <v>66</v>
      </c>
      <c r="E99" s="9" t="s">
        <v>16</v>
      </c>
      <c r="F99" s="9" t="s">
        <v>31</v>
      </c>
      <c r="G99" s="12">
        <v>85</v>
      </c>
      <c r="H99" s="11" t="s">
        <v>18</v>
      </c>
      <c r="I99" s="9" t="s">
        <v>67</v>
      </c>
      <c r="J99" s="12">
        <v>12400</v>
      </c>
      <c r="K99" s="12">
        <v>0</v>
      </c>
      <c r="L99" s="13">
        <v>5.3</v>
      </c>
      <c r="M99" s="9" t="s">
        <v>20</v>
      </c>
    </row>
    <row r="100" spans="1:13" x14ac:dyDescent="0.3">
      <c r="A100" s="9" t="s">
        <v>170</v>
      </c>
      <c r="B100" s="10">
        <v>46200</v>
      </c>
      <c r="C100" s="9" t="s">
        <v>121</v>
      </c>
      <c r="D100" s="11" t="s">
        <v>122</v>
      </c>
      <c r="E100" s="9" t="s">
        <v>24</v>
      </c>
      <c r="F100" s="9" t="s">
        <v>31</v>
      </c>
      <c r="G100" s="12">
        <v>82</v>
      </c>
      <c r="H100" s="11" t="s">
        <v>25</v>
      </c>
      <c r="I100" s="9" t="s">
        <v>58</v>
      </c>
      <c r="J100" s="12">
        <v>18500</v>
      </c>
      <c r="K100" s="12">
        <v>0</v>
      </c>
      <c r="L100" s="13">
        <v>6.2</v>
      </c>
      <c r="M100" s="9" t="s">
        <v>20</v>
      </c>
    </row>
    <row r="101" spans="1:13" x14ac:dyDescent="0.3">
      <c r="A101" s="14" t="s">
        <v>171</v>
      </c>
      <c r="B101" s="15">
        <v>46200</v>
      </c>
      <c r="C101" s="14" t="s">
        <v>108</v>
      </c>
      <c r="D101" s="16" t="s">
        <v>109</v>
      </c>
      <c r="E101" s="14" t="s">
        <v>36</v>
      </c>
      <c r="F101" s="14" t="s">
        <v>31</v>
      </c>
      <c r="G101" s="17">
        <v>67</v>
      </c>
      <c r="H101" s="16" t="s">
        <v>37</v>
      </c>
      <c r="I101" s="14" t="s">
        <v>38</v>
      </c>
      <c r="J101" s="17">
        <v>28500</v>
      </c>
      <c r="K101" s="17">
        <v>5</v>
      </c>
      <c r="L101" s="18">
        <v>5.5</v>
      </c>
      <c r="M101" s="14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31A8-8628-4524-ACAB-1FFF289D57E5}">
  <sheetPr>
    <tabColor theme="4" tint="0.39997558519241921"/>
  </sheetPr>
  <dimension ref="A1:Z101"/>
  <sheetViews>
    <sheetView topLeftCell="N1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8.6640625" bestFit="1" customWidth="1"/>
    <col min="2" max="2" width="10.109375" bestFit="1" customWidth="1"/>
    <col min="3" max="3" width="12.44140625" bestFit="1" customWidth="1"/>
    <col min="4" max="4" width="22.109375" bestFit="1" customWidth="1"/>
    <col min="5" max="5" width="12.44140625" bestFit="1" customWidth="1"/>
    <col min="6" max="6" width="13.33203125" bestFit="1" customWidth="1"/>
    <col min="7" max="7" width="12.88671875" bestFit="1" customWidth="1"/>
    <col min="8" max="8" width="17.5546875" bestFit="1" customWidth="1"/>
    <col min="9" max="9" width="12.77734375" bestFit="1" customWidth="1"/>
    <col min="10" max="11" width="12.44140625" bestFit="1" customWidth="1"/>
    <col min="12" max="12" width="13" bestFit="1" customWidth="1"/>
    <col min="13" max="13" width="11.109375" bestFit="1" customWidth="1"/>
    <col min="14" max="14" width="10.5546875" bestFit="1" customWidth="1"/>
    <col min="15" max="15" width="18.88671875" bestFit="1" customWidth="1"/>
    <col min="16" max="16" width="15.88671875" bestFit="1" customWidth="1"/>
    <col min="17" max="17" width="17.33203125" bestFit="1" customWidth="1"/>
    <col min="18" max="18" width="14.88671875" bestFit="1" customWidth="1"/>
    <col min="19" max="19" width="14.33203125" bestFit="1" customWidth="1"/>
    <col min="20" max="20" width="14.44140625" bestFit="1" customWidth="1"/>
    <col min="21" max="21" width="18.77734375" bestFit="1" customWidth="1"/>
    <col min="22" max="22" width="14.109375" bestFit="1" customWidth="1"/>
    <col min="23" max="23" width="14.44140625" bestFit="1" customWidth="1"/>
    <col min="24" max="24" width="16" bestFit="1" customWidth="1"/>
    <col min="25" max="25" width="16.33203125" bestFit="1" customWidth="1"/>
    <col min="26" max="26" width="17.77734375" bestFit="1" customWidth="1"/>
  </cols>
  <sheetData>
    <row r="1" spans="1:26" ht="26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1" t="s">
        <v>175</v>
      </c>
      <c r="O1" s="21" t="s">
        <v>176</v>
      </c>
      <c r="P1" s="21" t="s">
        <v>177</v>
      </c>
      <c r="Q1" s="21" t="s">
        <v>178</v>
      </c>
      <c r="R1" s="21" t="s">
        <v>179</v>
      </c>
      <c r="S1" s="21" t="s">
        <v>180</v>
      </c>
      <c r="T1" s="21" t="s">
        <v>181</v>
      </c>
      <c r="U1" s="21" t="s">
        <v>182</v>
      </c>
      <c r="V1" t="s">
        <v>183</v>
      </c>
      <c r="W1" s="21" t="s">
        <v>184</v>
      </c>
      <c r="X1" s="21" t="s">
        <v>185</v>
      </c>
      <c r="Y1" s="21" t="s">
        <v>186</v>
      </c>
      <c r="Z1" s="21" t="s">
        <v>187</v>
      </c>
    </row>
    <row r="2" spans="1:26" x14ac:dyDescent="0.3">
      <c r="A2" s="4" t="s">
        <v>13</v>
      </c>
      <c r="B2" s="5">
        <v>46024</v>
      </c>
      <c r="C2" s="4" t="s">
        <v>14</v>
      </c>
      <c r="D2" s="6" t="s">
        <v>15</v>
      </c>
      <c r="E2" s="4" t="s">
        <v>16</v>
      </c>
      <c r="F2" s="4" t="s">
        <v>17</v>
      </c>
      <c r="G2" s="7">
        <v>69</v>
      </c>
      <c r="H2" s="6" t="s">
        <v>18</v>
      </c>
      <c r="I2" s="4" t="s">
        <v>19</v>
      </c>
      <c r="J2" s="7">
        <v>6500</v>
      </c>
      <c r="K2" s="7">
        <v>0</v>
      </c>
      <c r="L2" s="8">
        <v>8.1</v>
      </c>
      <c r="M2" s="4" t="s">
        <v>20</v>
      </c>
      <c r="N2" s="22">
        <f>DATE(YEAR(WarehouseTransactions3[[#This Row],[Date]]),MONTH(WarehouseTransactions3[[#This Row],[Date]]),1)</f>
        <v>46023</v>
      </c>
      <c r="O2" s="24">
        <f>WarehouseTransactions3[[#This Row],[Quantity]]*WarehouseTransactions3[[#This Row],[Unit_Cost]]</f>
        <v>448500</v>
      </c>
      <c r="P2" s="25">
        <f>WarehouseTransactions3[[#This Row],[Quantity]]-WarehouseTransactions3[[#This Row],[Damaged_Qty]]</f>
        <v>69</v>
      </c>
      <c r="Q2">
        <f>IF(WarehouseTransactions3[[#This Row],[Transaction_Type]]="Inbound",WarehouseTransactions3[[#This Row],[Quantity]],-WarehouseTransactions3[[#This Row],[Quantity]])</f>
        <v>69</v>
      </c>
      <c r="R2" s="26">
        <f>IFERROR(WarehouseTransactions3[[#This Row],[Damaged_Qty]]/WarehouseTransactions3[[#This Row],[Quantity]],0)</f>
        <v>0</v>
      </c>
      <c r="S2">
        <f>IF(WarehouseTransactions3[[#This Row],[Status]]="Delayed",1,0)</f>
        <v>0</v>
      </c>
      <c r="T2">
        <f>IF(WarehouseTransactions3[[#This Row],[Status]]="Pending",1,0)</f>
        <v>0</v>
      </c>
      <c r="U2" s="20">
        <f>IF(WarehouseTransactions3[[#This Row],[Processing_Time_Hours]]&gt;8,1,0)</f>
        <v>1</v>
      </c>
      <c r="V2" s="27">
        <f>WarehouseTransactions3[[#This Row],[Processing_Time_Hours]]/24</f>
        <v>0.33749999999999997</v>
      </c>
      <c r="W2" s="20">
        <f>IF(WarehouseTransactions3[[#This Row],[Transaction_Type]]="Inbound",WarehouseTransactions3[[#This Row],[Quantity]],0)</f>
        <v>69</v>
      </c>
      <c r="X2" s="20">
        <f>IF(WarehouseTransactions3[[#This Row],[Transaction_Type]]="Outbound",WarehouseTransactions3[[#This Row],[Quantity]],0)</f>
        <v>0</v>
      </c>
      <c r="Y2" s="24">
        <f>IF(WarehouseTransactions3[[#This Row],[Transaction_Type]]="Inbound",WarehouseTransactions3[[#This Row],[Transaction_Value]],0)</f>
        <v>448500</v>
      </c>
      <c r="Z2" s="24">
        <f>IF(WarehouseTransactions3[[#This Row],[Transaction_Type]]="Outbound",WarehouseTransactions3[[#This Row],[Transaction_Value]],0)</f>
        <v>0</v>
      </c>
    </row>
    <row r="3" spans="1:26" x14ac:dyDescent="0.3">
      <c r="A3" s="9" t="s">
        <v>21</v>
      </c>
      <c r="B3" s="10">
        <v>46024</v>
      </c>
      <c r="C3" s="9" t="s">
        <v>22</v>
      </c>
      <c r="D3" s="11" t="s">
        <v>23</v>
      </c>
      <c r="E3" s="9" t="s">
        <v>24</v>
      </c>
      <c r="F3" s="9" t="s">
        <v>17</v>
      </c>
      <c r="G3" s="12">
        <v>27</v>
      </c>
      <c r="H3" s="11" t="s">
        <v>25</v>
      </c>
      <c r="I3" s="9" t="s">
        <v>26</v>
      </c>
      <c r="J3" s="12">
        <v>11200</v>
      </c>
      <c r="K3" s="12">
        <v>1</v>
      </c>
      <c r="L3" s="13">
        <v>3.5</v>
      </c>
      <c r="M3" s="9" t="s">
        <v>20</v>
      </c>
      <c r="N3" s="22">
        <f>DATE(YEAR(WarehouseTransactions3[[#This Row],[Date]]),MONTH(WarehouseTransactions3[[#This Row],[Date]]),1)</f>
        <v>46023</v>
      </c>
      <c r="O3" s="24">
        <f>WarehouseTransactions3[[#This Row],[Quantity]]*WarehouseTransactions3[[#This Row],[Unit_Cost]]</f>
        <v>302400</v>
      </c>
      <c r="P3" s="25">
        <f>WarehouseTransactions3[[#This Row],[Quantity]]-WarehouseTransactions3[[#This Row],[Damaged_Qty]]</f>
        <v>26</v>
      </c>
      <c r="Q3">
        <f>IF(WarehouseTransactions3[[#This Row],[Transaction_Type]]="Inbound",WarehouseTransactions3[[#This Row],[Quantity]],-WarehouseTransactions3[[#This Row],[Quantity]])</f>
        <v>27</v>
      </c>
      <c r="R3" s="26">
        <f>IFERROR(WarehouseTransactions3[[#This Row],[Damaged_Qty]]/WarehouseTransactions3[[#This Row],[Quantity]],0)</f>
        <v>3.7037037037037035E-2</v>
      </c>
      <c r="S3">
        <f>IF(WarehouseTransactions3[[#This Row],[Status]]="Delayed",1,0)</f>
        <v>0</v>
      </c>
      <c r="T3">
        <f>IF(WarehouseTransactions3[[#This Row],[Status]]="Pending",1,0)</f>
        <v>0</v>
      </c>
      <c r="U3" s="20">
        <f>IF(WarehouseTransactions3[[#This Row],[Processing_Time_Hours]]&gt;8,1,0)</f>
        <v>0</v>
      </c>
      <c r="V3" s="27">
        <f>WarehouseTransactions3[[#This Row],[Processing_Time_Hours]]/24</f>
        <v>0.14583333333333334</v>
      </c>
      <c r="W3" s="20">
        <f>IF(WarehouseTransactions3[[#This Row],[Transaction_Type]]="Inbound",WarehouseTransactions3[[#This Row],[Quantity]],0)</f>
        <v>27</v>
      </c>
      <c r="X3" s="20">
        <f>IF(WarehouseTransactions3[[#This Row],[Transaction_Type]]="Outbound",WarehouseTransactions3[[#This Row],[Quantity]],0)</f>
        <v>0</v>
      </c>
      <c r="Y3" s="24">
        <f>IF(WarehouseTransactions3[[#This Row],[Transaction_Type]]="Inbound",WarehouseTransactions3[[#This Row],[Transaction_Value]],0)</f>
        <v>302400</v>
      </c>
      <c r="Z3" s="24">
        <f>IF(WarehouseTransactions3[[#This Row],[Transaction_Type]]="Outbound",WarehouseTransactions3[[#This Row],[Transaction_Value]],0)</f>
        <v>0</v>
      </c>
    </row>
    <row r="4" spans="1:26" x14ac:dyDescent="0.3">
      <c r="A4" s="9" t="s">
        <v>27</v>
      </c>
      <c r="B4" s="10">
        <v>46025</v>
      </c>
      <c r="C4" s="9" t="s">
        <v>28</v>
      </c>
      <c r="D4" s="11" t="s">
        <v>29</v>
      </c>
      <c r="E4" s="9" t="s">
        <v>30</v>
      </c>
      <c r="F4" s="9" t="s">
        <v>31</v>
      </c>
      <c r="G4" s="12">
        <v>17</v>
      </c>
      <c r="H4" s="11" t="s">
        <v>32</v>
      </c>
      <c r="I4" s="9" t="s">
        <v>19</v>
      </c>
      <c r="J4" s="12">
        <v>68500</v>
      </c>
      <c r="K4" s="12">
        <v>0</v>
      </c>
      <c r="L4" s="13">
        <v>4.0999999999999996</v>
      </c>
      <c r="M4" s="9" t="s">
        <v>20</v>
      </c>
      <c r="N4" s="22">
        <f>DATE(YEAR(WarehouseTransactions3[[#This Row],[Date]]),MONTH(WarehouseTransactions3[[#This Row],[Date]]),1)</f>
        <v>46023</v>
      </c>
      <c r="O4" s="24">
        <f>WarehouseTransactions3[[#This Row],[Quantity]]*WarehouseTransactions3[[#This Row],[Unit_Cost]]</f>
        <v>1164500</v>
      </c>
      <c r="P4" s="25">
        <f>WarehouseTransactions3[[#This Row],[Quantity]]-WarehouseTransactions3[[#This Row],[Damaged_Qty]]</f>
        <v>17</v>
      </c>
      <c r="Q4">
        <f>IF(WarehouseTransactions3[[#This Row],[Transaction_Type]]="Inbound",WarehouseTransactions3[[#This Row],[Quantity]],-WarehouseTransactions3[[#This Row],[Quantity]])</f>
        <v>-17</v>
      </c>
      <c r="R4" s="26">
        <f>IFERROR(WarehouseTransactions3[[#This Row],[Damaged_Qty]]/WarehouseTransactions3[[#This Row],[Quantity]],0)</f>
        <v>0</v>
      </c>
      <c r="S4">
        <f>IF(WarehouseTransactions3[[#This Row],[Status]]="Delayed",1,0)</f>
        <v>0</v>
      </c>
      <c r="T4">
        <f>IF(WarehouseTransactions3[[#This Row],[Status]]="Pending",1,0)</f>
        <v>0</v>
      </c>
      <c r="U4" s="20">
        <f>IF(WarehouseTransactions3[[#This Row],[Processing_Time_Hours]]&gt;8,1,0)</f>
        <v>0</v>
      </c>
      <c r="V4" s="27">
        <f>WarehouseTransactions3[[#This Row],[Processing_Time_Hours]]/24</f>
        <v>0.17083333333333331</v>
      </c>
      <c r="W4" s="20">
        <f>IF(WarehouseTransactions3[[#This Row],[Transaction_Type]]="Inbound",WarehouseTransactions3[[#This Row],[Quantity]],0)</f>
        <v>0</v>
      </c>
      <c r="X4" s="20">
        <f>IF(WarehouseTransactions3[[#This Row],[Transaction_Type]]="Outbound",WarehouseTransactions3[[#This Row],[Quantity]],0)</f>
        <v>17</v>
      </c>
      <c r="Y4" s="24">
        <f>IF(WarehouseTransactions3[[#This Row],[Transaction_Type]]="Inbound",WarehouseTransactions3[[#This Row],[Transaction_Value]],0)</f>
        <v>0</v>
      </c>
      <c r="Z4" s="24">
        <f>IF(WarehouseTransactions3[[#This Row],[Transaction_Type]]="Outbound",WarehouseTransactions3[[#This Row],[Transaction_Value]],0)</f>
        <v>1164500</v>
      </c>
    </row>
    <row r="5" spans="1:26" x14ac:dyDescent="0.3">
      <c r="A5" s="9" t="s">
        <v>33</v>
      </c>
      <c r="B5" s="10">
        <v>46027</v>
      </c>
      <c r="C5" s="9" t="s">
        <v>34</v>
      </c>
      <c r="D5" s="11" t="s">
        <v>35</v>
      </c>
      <c r="E5" s="9" t="s">
        <v>36</v>
      </c>
      <c r="F5" s="9" t="s">
        <v>31</v>
      </c>
      <c r="G5" s="12">
        <v>25</v>
      </c>
      <c r="H5" s="11" t="s">
        <v>37</v>
      </c>
      <c r="I5" s="9" t="s">
        <v>38</v>
      </c>
      <c r="J5" s="12">
        <v>13900</v>
      </c>
      <c r="K5" s="12">
        <v>0</v>
      </c>
      <c r="L5" s="13">
        <v>12.4</v>
      </c>
      <c r="M5" s="9" t="s">
        <v>39</v>
      </c>
      <c r="N5" s="22">
        <f>DATE(YEAR(WarehouseTransactions3[[#This Row],[Date]]),MONTH(WarehouseTransactions3[[#This Row],[Date]]),1)</f>
        <v>46023</v>
      </c>
      <c r="O5" s="24">
        <f>WarehouseTransactions3[[#This Row],[Quantity]]*WarehouseTransactions3[[#This Row],[Unit_Cost]]</f>
        <v>347500</v>
      </c>
      <c r="P5" s="25">
        <f>WarehouseTransactions3[[#This Row],[Quantity]]-WarehouseTransactions3[[#This Row],[Damaged_Qty]]</f>
        <v>25</v>
      </c>
      <c r="Q5">
        <f>IF(WarehouseTransactions3[[#This Row],[Transaction_Type]]="Inbound",WarehouseTransactions3[[#This Row],[Quantity]],-WarehouseTransactions3[[#This Row],[Quantity]])</f>
        <v>-25</v>
      </c>
      <c r="R5" s="26">
        <f>IFERROR(WarehouseTransactions3[[#This Row],[Damaged_Qty]]/WarehouseTransactions3[[#This Row],[Quantity]],0)</f>
        <v>0</v>
      </c>
      <c r="S5">
        <f>IF(WarehouseTransactions3[[#This Row],[Status]]="Delayed",1,0)</f>
        <v>1</v>
      </c>
      <c r="T5">
        <f>IF(WarehouseTransactions3[[#This Row],[Status]]="Pending",1,0)</f>
        <v>0</v>
      </c>
      <c r="U5" s="20">
        <f>IF(WarehouseTransactions3[[#This Row],[Processing_Time_Hours]]&gt;8,1,0)</f>
        <v>1</v>
      </c>
      <c r="V5" s="27">
        <f>WarehouseTransactions3[[#This Row],[Processing_Time_Hours]]/24</f>
        <v>0.51666666666666672</v>
      </c>
      <c r="W5" s="20">
        <f>IF(WarehouseTransactions3[[#This Row],[Transaction_Type]]="Inbound",WarehouseTransactions3[[#This Row],[Quantity]],0)</f>
        <v>0</v>
      </c>
      <c r="X5" s="20">
        <f>IF(WarehouseTransactions3[[#This Row],[Transaction_Type]]="Outbound",WarehouseTransactions3[[#This Row],[Quantity]],0)</f>
        <v>25</v>
      </c>
      <c r="Y5" s="24">
        <f>IF(WarehouseTransactions3[[#This Row],[Transaction_Type]]="Inbound",WarehouseTransactions3[[#This Row],[Transaction_Value]],0)</f>
        <v>0</v>
      </c>
      <c r="Z5" s="24">
        <f>IF(WarehouseTransactions3[[#This Row],[Transaction_Type]]="Outbound",WarehouseTransactions3[[#This Row],[Transaction_Value]],0)</f>
        <v>347500</v>
      </c>
    </row>
    <row r="6" spans="1:26" x14ac:dyDescent="0.3">
      <c r="A6" s="9" t="s">
        <v>40</v>
      </c>
      <c r="B6" s="10">
        <v>46028</v>
      </c>
      <c r="C6" s="9" t="s">
        <v>41</v>
      </c>
      <c r="D6" s="11" t="s">
        <v>42</v>
      </c>
      <c r="E6" s="9" t="s">
        <v>16</v>
      </c>
      <c r="F6" s="9" t="s">
        <v>17</v>
      </c>
      <c r="G6" s="12">
        <v>48</v>
      </c>
      <c r="H6" s="11" t="s">
        <v>18</v>
      </c>
      <c r="I6" s="9" t="s">
        <v>19</v>
      </c>
      <c r="J6" s="12">
        <v>54500</v>
      </c>
      <c r="K6" s="12">
        <v>0</v>
      </c>
      <c r="L6" s="13">
        <v>12.1</v>
      </c>
      <c r="M6" s="9" t="s">
        <v>43</v>
      </c>
      <c r="N6" s="22">
        <f>DATE(YEAR(WarehouseTransactions3[[#This Row],[Date]]),MONTH(WarehouseTransactions3[[#This Row],[Date]]),1)</f>
        <v>46023</v>
      </c>
      <c r="O6" s="24">
        <f>WarehouseTransactions3[[#This Row],[Quantity]]*WarehouseTransactions3[[#This Row],[Unit_Cost]]</f>
        <v>2616000</v>
      </c>
      <c r="P6" s="25">
        <f>WarehouseTransactions3[[#This Row],[Quantity]]-WarehouseTransactions3[[#This Row],[Damaged_Qty]]</f>
        <v>48</v>
      </c>
      <c r="Q6">
        <f>IF(WarehouseTransactions3[[#This Row],[Transaction_Type]]="Inbound",WarehouseTransactions3[[#This Row],[Quantity]],-WarehouseTransactions3[[#This Row],[Quantity]])</f>
        <v>48</v>
      </c>
      <c r="R6" s="26">
        <f>IFERROR(WarehouseTransactions3[[#This Row],[Damaged_Qty]]/WarehouseTransactions3[[#This Row],[Quantity]],0)</f>
        <v>0</v>
      </c>
      <c r="S6">
        <f>IF(WarehouseTransactions3[[#This Row],[Status]]="Delayed",1,0)</f>
        <v>0</v>
      </c>
      <c r="T6">
        <f>IF(WarehouseTransactions3[[#This Row],[Status]]="Pending",1,0)</f>
        <v>1</v>
      </c>
      <c r="U6" s="20">
        <f>IF(WarehouseTransactions3[[#This Row],[Processing_Time_Hours]]&gt;8,1,0)</f>
        <v>1</v>
      </c>
      <c r="V6" s="27">
        <f>WarehouseTransactions3[[#This Row],[Processing_Time_Hours]]/24</f>
        <v>0.50416666666666665</v>
      </c>
      <c r="W6" s="20">
        <f>IF(WarehouseTransactions3[[#This Row],[Transaction_Type]]="Inbound",WarehouseTransactions3[[#This Row],[Quantity]],0)</f>
        <v>48</v>
      </c>
      <c r="X6" s="20">
        <f>IF(WarehouseTransactions3[[#This Row],[Transaction_Type]]="Outbound",WarehouseTransactions3[[#This Row],[Quantity]],0)</f>
        <v>0</v>
      </c>
      <c r="Y6" s="24">
        <f>IF(WarehouseTransactions3[[#This Row],[Transaction_Type]]="Inbound",WarehouseTransactions3[[#This Row],[Transaction_Value]],0)</f>
        <v>2616000</v>
      </c>
      <c r="Z6" s="24">
        <f>IF(WarehouseTransactions3[[#This Row],[Transaction_Type]]="Outbound",WarehouseTransactions3[[#This Row],[Transaction_Value]],0)</f>
        <v>0</v>
      </c>
    </row>
    <row r="7" spans="1:26" x14ac:dyDescent="0.3">
      <c r="A7" s="9" t="s">
        <v>44</v>
      </c>
      <c r="B7" s="10">
        <v>46028</v>
      </c>
      <c r="C7" s="9" t="s">
        <v>45</v>
      </c>
      <c r="D7" s="11" t="s">
        <v>46</v>
      </c>
      <c r="E7" s="9" t="s">
        <v>47</v>
      </c>
      <c r="F7" s="9" t="s">
        <v>17</v>
      </c>
      <c r="G7" s="12">
        <v>63</v>
      </c>
      <c r="H7" s="11" t="s">
        <v>48</v>
      </c>
      <c r="I7" s="9" t="s">
        <v>49</v>
      </c>
      <c r="J7" s="12">
        <v>17200</v>
      </c>
      <c r="K7" s="12">
        <v>0</v>
      </c>
      <c r="L7" s="13">
        <v>6</v>
      </c>
      <c r="M7" s="9" t="s">
        <v>20</v>
      </c>
      <c r="N7" s="22">
        <f>DATE(YEAR(WarehouseTransactions3[[#This Row],[Date]]),MONTH(WarehouseTransactions3[[#This Row],[Date]]),1)</f>
        <v>46023</v>
      </c>
      <c r="O7" s="24">
        <f>WarehouseTransactions3[[#This Row],[Quantity]]*WarehouseTransactions3[[#This Row],[Unit_Cost]]</f>
        <v>1083600</v>
      </c>
      <c r="P7" s="25">
        <f>WarehouseTransactions3[[#This Row],[Quantity]]-WarehouseTransactions3[[#This Row],[Damaged_Qty]]</f>
        <v>63</v>
      </c>
      <c r="Q7">
        <f>IF(WarehouseTransactions3[[#This Row],[Transaction_Type]]="Inbound",WarehouseTransactions3[[#This Row],[Quantity]],-WarehouseTransactions3[[#This Row],[Quantity]])</f>
        <v>63</v>
      </c>
      <c r="R7" s="26">
        <f>IFERROR(WarehouseTransactions3[[#This Row],[Damaged_Qty]]/WarehouseTransactions3[[#This Row],[Quantity]],0)</f>
        <v>0</v>
      </c>
      <c r="S7">
        <f>IF(WarehouseTransactions3[[#This Row],[Status]]="Delayed",1,0)</f>
        <v>0</v>
      </c>
      <c r="T7">
        <f>IF(WarehouseTransactions3[[#This Row],[Status]]="Pending",1,0)</f>
        <v>0</v>
      </c>
      <c r="U7" s="20">
        <f>IF(WarehouseTransactions3[[#This Row],[Processing_Time_Hours]]&gt;8,1,0)</f>
        <v>0</v>
      </c>
      <c r="V7" s="27">
        <f>WarehouseTransactions3[[#This Row],[Processing_Time_Hours]]/24</f>
        <v>0.25</v>
      </c>
      <c r="W7" s="20">
        <f>IF(WarehouseTransactions3[[#This Row],[Transaction_Type]]="Inbound",WarehouseTransactions3[[#This Row],[Quantity]],0)</f>
        <v>63</v>
      </c>
      <c r="X7" s="20">
        <f>IF(WarehouseTransactions3[[#This Row],[Transaction_Type]]="Outbound",WarehouseTransactions3[[#This Row],[Quantity]],0)</f>
        <v>0</v>
      </c>
      <c r="Y7" s="24">
        <f>IF(WarehouseTransactions3[[#This Row],[Transaction_Type]]="Inbound",WarehouseTransactions3[[#This Row],[Transaction_Value]],0)</f>
        <v>1083600</v>
      </c>
      <c r="Z7" s="24">
        <f>IF(WarehouseTransactions3[[#This Row],[Transaction_Type]]="Outbound",WarehouseTransactions3[[#This Row],[Transaction_Value]],0)</f>
        <v>0</v>
      </c>
    </row>
    <row r="8" spans="1:26" x14ac:dyDescent="0.3">
      <c r="A8" s="9" t="s">
        <v>50</v>
      </c>
      <c r="B8" s="10">
        <v>46032</v>
      </c>
      <c r="C8" s="9" t="s">
        <v>28</v>
      </c>
      <c r="D8" s="11" t="s">
        <v>29</v>
      </c>
      <c r="E8" s="9" t="s">
        <v>30</v>
      </c>
      <c r="F8" s="9" t="s">
        <v>17</v>
      </c>
      <c r="G8" s="12">
        <v>100</v>
      </c>
      <c r="H8" s="11" t="s">
        <v>32</v>
      </c>
      <c r="I8" s="9" t="s">
        <v>19</v>
      </c>
      <c r="J8" s="12">
        <v>68500</v>
      </c>
      <c r="K8" s="12">
        <v>0</v>
      </c>
      <c r="L8" s="13">
        <v>10.8</v>
      </c>
      <c r="M8" s="9" t="s">
        <v>43</v>
      </c>
      <c r="N8" s="22">
        <f>DATE(YEAR(WarehouseTransactions3[[#This Row],[Date]]),MONTH(WarehouseTransactions3[[#This Row],[Date]]),1)</f>
        <v>46023</v>
      </c>
      <c r="O8" s="24">
        <f>WarehouseTransactions3[[#This Row],[Quantity]]*WarehouseTransactions3[[#This Row],[Unit_Cost]]</f>
        <v>6850000</v>
      </c>
      <c r="P8" s="25">
        <f>WarehouseTransactions3[[#This Row],[Quantity]]-WarehouseTransactions3[[#This Row],[Damaged_Qty]]</f>
        <v>100</v>
      </c>
      <c r="Q8">
        <f>IF(WarehouseTransactions3[[#This Row],[Transaction_Type]]="Inbound",WarehouseTransactions3[[#This Row],[Quantity]],-WarehouseTransactions3[[#This Row],[Quantity]])</f>
        <v>100</v>
      </c>
      <c r="R8" s="26">
        <f>IFERROR(WarehouseTransactions3[[#This Row],[Damaged_Qty]]/WarehouseTransactions3[[#This Row],[Quantity]],0)</f>
        <v>0</v>
      </c>
      <c r="S8">
        <f>IF(WarehouseTransactions3[[#This Row],[Status]]="Delayed",1,0)</f>
        <v>0</v>
      </c>
      <c r="T8">
        <f>IF(WarehouseTransactions3[[#This Row],[Status]]="Pending",1,0)</f>
        <v>1</v>
      </c>
      <c r="U8" s="20">
        <f>IF(WarehouseTransactions3[[#This Row],[Processing_Time_Hours]]&gt;8,1,0)</f>
        <v>1</v>
      </c>
      <c r="V8" s="27">
        <f>WarehouseTransactions3[[#This Row],[Processing_Time_Hours]]/24</f>
        <v>0.45</v>
      </c>
      <c r="W8" s="20">
        <f>IF(WarehouseTransactions3[[#This Row],[Transaction_Type]]="Inbound",WarehouseTransactions3[[#This Row],[Quantity]],0)</f>
        <v>100</v>
      </c>
      <c r="X8" s="20">
        <f>IF(WarehouseTransactions3[[#This Row],[Transaction_Type]]="Outbound",WarehouseTransactions3[[#This Row],[Quantity]],0)</f>
        <v>0</v>
      </c>
      <c r="Y8" s="24">
        <f>IF(WarehouseTransactions3[[#This Row],[Transaction_Type]]="Inbound",WarehouseTransactions3[[#This Row],[Transaction_Value]],0)</f>
        <v>6850000</v>
      </c>
      <c r="Z8" s="24">
        <f>IF(WarehouseTransactions3[[#This Row],[Transaction_Type]]="Outbound",WarehouseTransactions3[[#This Row],[Transaction_Value]],0)</f>
        <v>0</v>
      </c>
    </row>
    <row r="9" spans="1:26" x14ac:dyDescent="0.3">
      <c r="A9" s="9" t="s">
        <v>51</v>
      </c>
      <c r="B9" s="10">
        <v>46032</v>
      </c>
      <c r="C9" s="9" t="s">
        <v>22</v>
      </c>
      <c r="D9" s="11" t="s">
        <v>23</v>
      </c>
      <c r="E9" s="9" t="s">
        <v>24</v>
      </c>
      <c r="F9" s="9" t="s">
        <v>17</v>
      </c>
      <c r="G9" s="12">
        <v>67</v>
      </c>
      <c r="H9" s="11" t="s">
        <v>25</v>
      </c>
      <c r="I9" s="9" t="s">
        <v>26</v>
      </c>
      <c r="J9" s="12">
        <v>11200</v>
      </c>
      <c r="K9" s="12">
        <v>0</v>
      </c>
      <c r="L9" s="13">
        <v>4.8</v>
      </c>
      <c r="M9" s="9" t="s">
        <v>20</v>
      </c>
      <c r="N9" s="22">
        <f>DATE(YEAR(WarehouseTransactions3[[#This Row],[Date]]),MONTH(WarehouseTransactions3[[#This Row],[Date]]),1)</f>
        <v>46023</v>
      </c>
      <c r="O9" s="24">
        <f>WarehouseTransactions3[[#This Row],[Quantity]]*WarehouseTransactions3[[#This Row],[Unit_Cost]]</f>
        <v>750400</v>
      </c>
      <c r="P9" s="25">
        <f>WarehouseTransactions3[[#This Row],[Quantity]]-WarehouseTransactions3[[#This Row],[Damaged_Qty]]</f>
        <v>67</v>
      </c>
      <c r="Q9">
        <f>IF(WarehouseTransactions3[[#This Row],[Transaction_Type]]="Inbound",WarehouseTransactions3[[#This Row],[Quantity]],-WarehouseTransactions3[[#This Row],[Quantity]])</f>
        <v>67</v>
      </c>
      <c r="R9" s="26">
        <f>IFERROR(WarehouseTransactions3[[#This Row],[Damaged_Qty]]/WarehouseTransactions3[[#This Row],[Quantity]],0)</f>
        <v>0</v>
      </c>
      <c r="S9">
        <f>IF(WarehouseTransactions3[[#This Row],[Status]]="Delayed",1,0)</f>
        <v>0</v>
      </c>
      <c r="T9">
        <f>IF(WarehouseTransactions3[[#This Row],[Status]]="Pending",1,0)</f>
        <v>0</v>
      </c>
      <c r="U9" s="20">
        <f>IF(WarehouseTransactions3[[#This Row],[Processing_Time_Hours]]&gt;8,1,0)</f>
        <v>0</v>
      </c>
      <c r="V9" s="27">
        <f>WarehouseTransactions3[[#This Row],[Processing_Time_Hours]]/24</f>
        <v>0.19999999999999998</v>
      </c>
      <c r="W9" s="20">
        <f>IF(WarehouseTransactions3[[#This Row],[Transaction_Type]]="Inbound",WarehouseTransactions3[[#This Row],[Quantity]],0)</f>
        <v>67</v>
      </c>
      <c r="X9" s="20">
        <f>IF(WarehouseTransactions3[[#This Row],[Transaction_Type]]="Outbound",WarehouseTransactions3[[#This Row],[Quantity]],0)</f>
        <v>0</v>
      </c>
      <c r="Y9" s="24">
        <f>IF(WarehouseTransactions3[[#This Row],[Transaction_Type]]="Inbound",WarehouseTransactions3[[#This Row],[Transaction_Value]],0)</f>
        <v>750400</v>
      </c>
      <c r="Z9" s="24">
        <f>IF(WarehouseTransactions3[[#This Row],[Transaction_Type]]="Outbound",WarehouseTransactions3[[#This Row],[Transaction_Value]],0)</f>
        <v>0</v>
      </c>
    </row>
    <row r="10" spans="1:26" x14ac:dyDescent="0.3">
      <c r="A10" s="9" t="s">
        <v>52</v>
      </c>
      <c r="B10" s="10">
        <v>46034</v>
      </c>
      <c r="C10" s="9" t="s">
        <v>41</v>
      </c>
      <c r="D10" s="11" t="s">
        <v>42</v>
      </c>
      <c r="E10" s="9" t="s">
        <v>16</v>
      </c>
      <c r="F10" s="9" t="s">
        <v>17</v>
      </c>
      <c r="G10" s="12">
        <v>22</v>
      </c>
      <c r="H10" s="11" t="s">
        <v>18</v>
      </c>
      <c r="I10" s="9" t="s">
        <v>19</v>
      </c>
      <c r="J10" s="12">
        <v>54500</v>
      </c>
      <c r="K10" s="12">
        <v>0</v>
      </c>
      <c r="L10" s="13">
        <v>4.3</v>
      </c>
      <c r="M10" s="9" t="s">
        <v>20</v>
      </c>
      <c r="N10" s="22">
        <f>DATE(YEAR(WarehouseTransactions3[[#This Row],[Date]]),MONTH(WarehouseTransactions3[[#This Row],[Date]]),1)</f>
        <v>46023</v>
      </c>
      <c r="O10" s="24">
        <f>WarehouseTransactions3[[#This Row],[Quantity]]*WarehouseTransactions3[[#This Row],[Unit_Cost]]</f>
        <v>1199000</v>
      </c>
      <c r="P10" s="25">
        <f>WarehouseTransactions3[[#This Row],[Quantity]]-WarehouseTransactions3[[#This Row],[Damaged_Qty]]</f>
        <v>22</v>
      </c>
      <c r="Q10">
        <f>IF(WarehouseTransactions3[[#This Row],[Transaction_Type]]="Inbound",WarehouseTransactions3[[#This Row],[Quantity]],-WarehouseTransactions3[[#This Row],[Quantity]])</f>
        <v>22</v>
      </c>
      <c r="R10" s="26">
        <f>IFERROR(WarehouseTransactions3[[#This Row],[Damaged_Qty]]/WarehouseTransactions3[[#This Row],[Quantity]],0)</f>
        <v>0</v>
      </c>
      <c r="S10">
        <f>IF(WarehouseTransactions3[[#This Row],[Status]]="Delayed",1,0)</f>
        <v>0</v>
      </c>
      <c r="T10">
        <f>IF(WarehouseTransactions3[[#This Row],[Status]]="Pending",1,0)</f>
        <v>0</v>
      </c>
      <c r="U10" s="20">
        <f>IF(WarehouseTransactions3[[#This Row],[Processing_Time_Hours]]&gt;8,1,0)</f>
        <v>0</v>
      </c>
      <c r="V10" s="27">
        <f>WarehouseTransactions3[[#This Row],[Processing_Time_Hours]]/24</f>
        <v>0.17916666666666667</v>
      </c>
      <c r="W10" s="20">
        <f>IF(WarehouseTransactions3[[#This Row],[Transaction_Type]]="Inbound",WarehouseTransactions3[[#This Row],[Quantity]],0)</f>
        <v>22</v>
      </c>
      <c r="X10" s="20">
        <f>IF(WarehouseTransactions3[[#This Row],[Transaction_Type]]="Outbound",WarehouseTransactions3[[#This Row],[Quantity]],0)</f>
        <v>0</v>
      </c>
      <c r="Y10" s="24">
        <f>IF(WarehouseTransactions3[[#This Row],[Transaction_Type]]="Inbound",WarehouseTransactions3[[#This Row],[Transaction_Value]],0)</f>
        <v>1199000</v>
      </c>
      <c r="Z10" s="24">
        <f>IF(WarehouseTransactions3[[#This Row],[Transaction_Type]]="Outbound",WarehouseTransactions3[[#This Row],[Transaction_Value]],0)</f>
        <v>0</v>
      </c>
    </row>
    <row r="11" spans="1:26" x14ac:dyDescent="0.3">
      <c r="A11" s="9" t="s">
        <v>53</v>
      </c>
      <c r="B11" s="10">
        <v>46038</v>
      </c>
      <c r="C11" s="9" t="s">
        <v>28</v>
      </c>
      <c r="D11" s="11" t="s">
        <v>29</v>
      </c>
      <c r="E11" s="9" t="s">
        <v>30</v>
      </c>
      <c r="F11" s="9" t="s">
        <v>17</v>
      </c>
      <c r="G11" s="12">
        <v>73</v>
      </c>
      <c r="H11" s="11" t="s">
        <v>32</v>
      </c>
      <c r="I11" s="9" t="s">
        <v>19</v>
      </c>
      <c r="J11" s="12">
        <v>68500</v>
      </c>
      <c r="K11" s="12">
        <v>0</v>
      </c>
      <c r="L11" s="13">
        <v>4.4000000000000004</v>
      </c>
      <c r="M11" s="9" t="s">
        <v>20</v>
      </c>
      <c r="N11" s="22">
        <f>DATE(YEAR(WarehouseTransactions3[[#This Row],[Date]]),MONTH(WarehouseTransactions3[[#This Row],[Date]]),1)</f>
        <v>46023</v>
      </c>
      <c r="O11" s="24">
        <f>WarehouseTransactions3[[#This Row],[Quantity]]*WarehouseTransactions3[[#This Row],[Unit_Cost]]</f>
        <v>5000500</v>
      </c>
      <c r="P11" s="25">
        <f>WarehouseTransactions3[[#This Row],[Quantity]]-WarehouseTransactions3[[#This Row],[Damaged_Qty]]</f>
        <v>73</v>
      </c>
      <c r="Q11">
        <f>IF(WarehouseTransactions3[[#This Row],[Transaction_Type]]="Inbound",WarehouseTransactions3[[#This Row],[Quantity]],-WarehouseTransactions3[[#This Row],[Quantity]])</f>
        <v>73</v>
      </c>
      <c r="R11" s="26">
        <f>IFERROR(WarehouseTransactions3[[#This Row],[Damaged_Qty]]/WarehouseTransactions3[[#This Row],[Quantity]],0)</f>
        <v>0</v>
      </c>
      <c r="S11">
        <f>IF(WarehouseTransactions3[[#This Row],[Status]]="Delayed",1,0)</f>
        <v>0</v>
      </c>
      <c r="T11">
        <f>IF(WarehouseTransactions3[[#This Row],[Status]]="Pending",1,0)</f>
        <v>0</v>
      </c>
      <c r="U11" s="20">
        <f>IF(WarehouseTransactions3[[#This Row],[Processing_Time_Hours]]&gt;8,1,0)</f>
        <v>0</v>
      </c>
      <c r="V11" s="27">
        <f>WarehouseTransactions3[[#This Row],[Processing_Time_Hours]]/24</f>
        <v>0.18333333333333335</v>
      </c>
      <c r="W11" s="20">
        <f>IF(WarehouseTransactions3[[#This Row],[Transaction_Type]]="Inbound",WarehouseTransactions3[[#This Row],[Quantity]],0)</f>
        <v>73</v>
      </c>
      <c r="X11" s="20">
        <f>IF(WarehouseTransactions3[[#This Row],[Transaction_Type]]="Outbound",WarehouseTransactions3[[#This Row],[Quantity]],0)</f>
        <v>0</v>
      </c>
      <c r="Y11" s="24">
        <f>IF(WarehouseTransactions3[[#This Row],[Transaction_Type]]="Inbound",WarehouseTransactions3[[#This Row],[Transaction_Value]],0)</f>
        <v>5000500</v>
      </c>
      <c r="Z11" s="24">
        <f>IF(WarehouseTransactions3[[#This Row],[Transaction_Type]]="Outbound",WarehouseTransactions3[[#This Row],[Transaction_Value]],0)</f>
        <v>0</v>
      </c>
    </row>
    <row r="12" spans="1:26" x14ac:dyDescent="0.3">
      <c r="A12" s="9" t="s">
        <v>54</v>
      </c>
      <c r="B12" s="10">
        <v>46038</v>
      </c>
      <c r="C12" s="9" t="s">
        <v>14</v>
      </c>
      <c r="D12" s="11" t="s">
        <v>15</v>
      </c>
      <c r="E12" s="9" t="s">
        <v>16</v>
      </c>
      <c r="F12" s="9" t="s">
        <v>17</v>
      </c>
      <c r="G12" s="12">
        <v>46</v>
      </c>
      <c r="H12" s="11" t="s">
        <v>18</v>
      </c>
      <c r="I12" s="9" t="s">
        <v>19</v>
      </c>
      <c r="J12" s="12">
        <v>6500</v>
      </c>
      <c r="K12" s="12">
        <v>0</v>
      </c>
      <c r="L12" s="13">
        <v>5.8</v>
      </c>
      <c r="M12" s="9" t="s">
        <v>20</v>
      </c>
      <c r="N12" s="22">
        <f>DATE(YEAR(WarehouseTransactions3[[#This Row],[Date]]),MONTH(WarehouseTransactions3[[#This Row],[Date]]),1)</f>
        <v>46023</v>
      </c>
      <c r="O12" s="24">
        <f>WarehouseTransactions3[[#This Row],[Quantity]]*WarehouseTransactions3[[#This Row],[Unit_Cost]]</f>
        <v>299000</v>
      </c>
      <c r="P12" s="25">
        <f>WarehouseTransactions3[[#This Row],[Quantity]]-WarehouseTransactions3[[#This Row],[Damaged_Qty]]</f>
        <v>46</v>
      </c>
      <c r="Q12">
        <f>IF(WarehouseTransactions3[[#This Row],[Transaction_Type]]="Inbound",WarehouseTransactions3[[#This Row],[Quantity]],-WarehouseTransactions3[[#This Row],[Quantity]])</f>
        <v>46</v>
      </c>
      <c r="R12" s="26">
        <f>IFERROR(WarehouseTransactions3[[#This Row],[Damaged_Qty]]/WarehouseTransactions3[[#This Row],[Quantity]],0)</f>
        <v>0</v>
      </c>
      <c r="S12">
        <f>IF(WarehouseTransactions3[[#This Row],[Status]]="Delayed",1,0)</f>
        <v>0</v>
      </c>
      <c r="T12">
        <f>IF(WarehouseTransactions3[[#This Row],[Status]]="Pending",1,0)</f>
        <v>0</v>
      </c>
      <c r="U12" s="20">
        <f>IF(WarehouseTransactions3[[#This Row],[Processing_Time_Hours]]&gt;8,1,0)</f>
        <v>0</v>
      </c>
      <c r="V12" s="27">
        <f>WarehouseTransactions3[[#This Row],[Processing_Time_Hours]]/24</f>
        <v>0.24166666666666667</v>
      </c>
      <c r="W12" s="20">
        <f>IF(WarehouseTransactions3[[#This Row],[Transaction_Type]]="Inbound",WarehouseTransactions3[[#This Row],[Quantity]],0)</f>
        <v>46</v>
      </c>
      <c r="X12" s="20">
        <f>IF(WarehouseTransactions3[[#This Row],[Transaction_Type]]="Outbound",WarehouseTransactions3[[#This Row],[Quantity]],0)</f>
        <v>0</v>
      </c>
      <c r="Y12" s="24">
        <f>IF(WarehouseTransactions3[[#This Row],[Transaction_Type]]="Inbound",WarehouseTransactions3[[#This Row],[Transaction_Value]],0)</f>
        <v>299000</v>
      </c>
      <c r="Z12" s="24">
        <f>IF(WarehouseTransactions3[[#This Row],[Transaction_Type]]="Outbound",WarehouseTransactions3[[#This Row],[Transaction_Value]],0)</f>
        <v>0</v>
      </c>
    </row>
    <row r="13" spans="1:26" x14ac:dyDescent="0.3">
      <c r="A13" s="9" t="s">
        <v>55</v>
      </c>
      <c r="B13" s="10">
        <v>46039</v>
      </c>
      <c r="C13" s="9" t="s">
        <v>56</v>
      </c>
      <c r="D13" s="11" t="s">
        <v>57</v>
      </c>
      <c r="E13" s="9" t="s">
        <v>24</v>
      </c>
      <c r="F13" s="9" t="s">
        <v>17</v>
      </c>
      <c r="G13" s="12">
        <v>50</v>
      </c>
      <c r="H13" s="11" t="s">
        <v>25</v>
      </c>
      <c r="I13" s="9" t="s">
        <v>58</v>
      </c>
      <c r="J13" s="12">
        <v>3200</v>
      </c>
      <c r="K13" s="12">
        <v>0</v>
      </c>
      <c r="L13" s="13">
        <v>10.7</v>
      </c>
      <c r="M13" s="9" t="s">
        <v>43</v>
      </c>
      <c r="N13" s="22">
        <f>DATE(YEAR(WarehouseTransactions3[[#This Row],[Date]]),MONTH(WarehouseTransactions3[[#This Row],[Date]]),1)</f>
        <v>46023</v>
      </c>
      <c r="O13" s="24">
        <f>WarehouseTransactions3[[#This Row],[Quantity]]*WarehouseTransactions3[[#This Row],[Unit_Cost]]</f>
        <v>160000</v>
      </c>
      <c r="P13" s="25">
        <f>WarehouseTransactions3[[#This Row],[Quantity]]-WarehouseTransactions3[[#This Row],[Damaged_Qty]]</f>
        <v>50</v>
      </c>
      <c r="Q13">
        <f>IF(WarehouseTransactions3[[#This Row],[Transaction_Type]]="Inbound",WarehouseTransactions3[[#This Row],[Quantity]],-WarehouseTransactions3[[#This Row],[Quantity]])</f>
        <v>50</v>
      </c>
      <c r="R13" s="26">
        <f>IFERROR(WarehouseTransactions3[[#This Row],[Damaged_Qty]]/WarehouseTransactions3[[#This Row],[Quantity]],0)</f>
        <v>0</v>
      </c>
      <c r="S13">
        <f>IF(WarehouseTransactions3[[#This Row],[Status]]="Delayed",1,0)</f>
        <v>0</v>
      </c>
      <c r="T13">
        <f>IF(WarehouseTransactions3[[#This Row],[Status]]="Pending",1,0)</f>
        <v>1</v>
      </c>
      <c r="U13" s="20">
        <f>IF(WarehouseTransactions3[[#This Row],[Processing_Time_Hours]]&gt;8,1,0)</f>
        <v>1</v>
      </c>
      <c r="V13" s="27">
        <f>WarehouseTransactions3[[#This Row],[Processing_Time_Hours]]/24</f>
        <v>0.4458333333333333</v>
      </c>
      <c r="W13" s="20">
        <f>IF(WarehouseTransactions3[[#This Row],[Transaction_Type]]="Inbound",WarehouseTransactions3[[#This Row],[Quantity]],0)</f>
        <v>50</v>
      </c>
      <c r="X13" s="20">
        <f>IF(WarehouseTransactions3[[#This Row],[Transaction_Type]]="Outbound",WarehouseTransactions3[[#This Row],[Quantity]],0)</f>
        <v>0</v>
      </c>
      <c r="Y13" s="24">
        <f>IF(WarehouseTransactions3[[#This Row],[Transaction_Type]]="Inbound",WarehouseTransactions3[[#This Row],[Transaction_Value]],0)</f>
        <v>160000</v>
      </c>
      <c r="Z13" s="24">
        <f>IF(WarehouseTransactions3[[#This Row],[Transaction_Type]]="Outbound",WarehouseTransactions3[[#This Row],[Transaction_Value]],0)</f>
        <v>0</v>
      </c>
    </row>
    <row r="14" spans="1:26" x14ac:dyDescent="0.3">
      <c r="A14" s="9" t="s">
        <v>59</v>
      </c>
      <c r="B14" s="10">
        <v>46040</v>
      </c>
      <c r="C14" s="9" t="s">
        <v>22</v>
      </c>
      <c r="D14" s="11" t="s">
        <v>23</v>
      </c>
      <c r="E14" s="9" t="s">
        <v>24</v>
      </c>
      <c r="F14" s="9" t="s">
        <v>31</v>
      </c>
      <c r="G14" s="12">
        <v>34</v>
      </c>
      <c r="H14" s="11" t="s">
        <v>25</v>
      </c>
      <c r="I14" s="9" t="s">
        <v>26</v>
      </c>
      <c r="J14" s="12">
        <v>11200</v>
      </c>
      <c r="K14" s="12">
        <v>0</v>
      </c>
      <c r="L14" s="13">
        <v>1.9</v>
      </c>
      <c r="M14" s="9" t="s">
        <v>20</v>
      </c>
      <c r="N14" s="22">
        <f>DATE(YEAR(WarehouseTransactions3[[#This Row],[Date]]),MONTH(WarehouseTransactions3[[#This Row],[Date]]),1)</f>
        <v>46023</v>
      </c>
      <c r="O14" s="24">
        <f>WarehouseTransactions3[[#This Row],[Quantity]]*WarehouseTransactions3[[#This Row],[Unit_Cost]]</f>
        <v>380800</v>
      </c>
      <c r="P14" s="25">
        <f>WarehouseTransactions3[[#This Row],[Quantity]]-WarehouseTransactions3[[#This Row],[Damaged_Qty]]</f>
        <v>34</v>
      </c>
      <c r="Q14">
        <f>IF(WarehouseTransactions3[[#This Row],[Transaction_Type]]="Inbound",WarehouseTransactions3[[#This Row],[Quantity]],-WarehouseTransactions3[[#This Row],[Quantity]])</f>
        <v>-34</v>
      </c>
      <c r="R14" s="26">
        <f>IFERROR(WarehouseTransactions3[[#This Row],[Damaged_Qty]]/WarehouseTransactions3[[#This Row],[Quantity]],0)</f>
        <v>0</v>
      </c>
      <c r="S14">
        <f>IF(WarehouseTransactions3[[#This Row],[Status]]="Delayed",1,0)</f>
        <v>0</v>
      </c>
      <c r="T14">
        <f>IF(WarehouseTransactions3[[#This Row],[Status]]="Pending",1,0)</f>
        <v>0</v>
      </c>
      <c r="U14" s="20">
        <f>IF(WarehouseTransactions3[[#This Row],[Processing_Time_Hours]]&gt;8,1,0)</f>
        <v>0</v>
      </c>
      <c r="V14" s="27">
        <f>WarehouseTransactions3[[#This Row],[Processing_Time_Hours]]/24</f>
        <v>7.9166666666666663E-2</v>
      </c>
      <c r="W14" s="20">
        <f>IF(WarehouseTransactions3[[#This Row],[Transaction_Type]]="Inbound",WarehouseTransactions3[[#This Row],[Quantity]],0)</f>
        <v>0</v>
      </c>
      <c r="X14" s="20">
        <f>IF(WarehouseTransactions3[[#This Row],[Transaction_Type]]="Outbound",WarehouseTransactions3[[#This Row],[Quantity]],0)</f>
        <v>34</v>
      </c>
      <c r="Y14" s="24">
        <f>IF(WarehouseTransactions3[[#This Row],[Transaction_Type]]="Inbound",WarehouseTransactions3[[#This Row],[Transaction_Value]],0)</f>
        <v>0</v>
      </c>
      <c r="Z14" s="24">
        <f>IF(WarehouseTransactions3[[#This Row],[Transaction_Type]]="Outbound",WarehouseTransactions3[[#This Row],[Transaction_Value]],0)</f>
        <v>380800</v>
      </c>
    </row>
    <row r="15" spans="1:26" x14ac:dyDescent="0.3">
      <c r="A15" s="9" t="s">
        <v>60</v>
      </c>
      <c r="B15" s="10">
        <v>46041</v>
      </c>
      <c r="C15" s="9" t="s">
        <v>61</v>
      </c>
      <c r="D15" s="11" t="s">
        <v>62</v>
      </c>
      <c r="E15" s="9" t="s">
        <v>36</v>
      </c>
      <c r="F15" s="9" t="s">
        <v>31</v>
      </c>
      <c r="G15" s="12">
        <v>10</v>
      </c>
      <c r="H15" s="11" t="s">
        <v>37</v>
      </c>
      <c r="I15" s="9" t="s">
        <v>63</v>
      </c>
      <c r="J15" s="12">
        <v>22400</v>
      </c>
      <c r="K15" s="12">
        <v>2</v>
      </c>
      <c r="L15" s="13">
        <v>4.7</v>
      </c>
      <c r="M15" s="9" t="s">
        <v>20</v>
      </c>
      <c r="N15" s="22">
        <f>DATE(YEAR(WarehouseTransactions3[[#This Row],[Date]]),MONTH(WarehouseTransactions3[[#This Row],[Date]]),1)</f>
        <v>46023</v>
      </c>
      <c r="O15" s="24">
        <f>WarehouseTransactions3[[#This Row],[Quantity]]*WarehouseTransactions3[[#This Row],[Unit_Cost]]</f>
        <v>224000</v>
      </c>
      <c r="P15" s="25">
        <f>WarehouseTransactions3[[#This Row],[Quantity]]-WarehouseTransactions3[[#This Row],[Damaged_Qty]]</f>
        <v>8</v>
      </c>
      <c r="Q15">
        <f>IF(WarehouseTransactions3[[#This Row],[Transaction_Type]]="Inbound",WarehouseTransactions3[[#This Row],[Quantity]],-WarehouseTransactions3[[#This Row],[Quantity]])</f>
        <v>-10</v>
      </c>
      <c r="R15" s="26">
        <f>IFERROR(WarehouseTransactions3[[#This Row],[Damaged_Qty]]/WarehouseTransactions3[[#This Row],[Quantity]],0)</f>
        <v>0.2</v>
      </c>
      <c r="S15">
        <f>IF(WarehouseTransactions3[[#This Row],[Status]]="Delayed",1,0)</f>
        <v>0</v>
      </c>
      <c r="T15">
        <f>IF(WarehouseTransactions3[[#This Row],[Status]]="Pending",1,0)</f>
        <v>0</v>
      </c>
      <c r="U15" s="20">
        <f>IF(WarehouseTransactions3[[#This Row],[Processing_Time_Hours]]&gt;8,1,0)</f>
        <v>0</v>
      </c>
      <c r="V15" s="27">
        <f>WarehouseTransactions3[[#This Row],[Processing_Time_Hours]]/24</f>
        <v>0.19583333333333333</v>
      </c>
      <c r="W15" s="20">
        <f>IF(WarehouseTransactions3[[#This Row],[Transaction_Type]]="Inbound",WarehouseTransactions3[[#This Row],[Quantity]],0)</f>
        <v>0</v>
      </c>
      <c r="X15" s="20">
        <f>IF(WarehouseTransactions3[[#This Row],[Transaction_Type]]="Outbound",WarehouseTransactions3[[#This Row],[Quantity]],0)</f>
        <v>10</v>
      </c>
      <c r="Y15" s="24">
        <f>IF(WarehouseTransactions3[[#This Row],[Transaction_Type]]="Inbound",WarehouseTransactions3[[#This Row],[Transaction_Value]],0)</f>
        <v>0</v>
      </c>
      <c r="Z15" s="24">
        <f>IF(WarehouseTransactions3[[#This Row],[Transaction_Type]]="Outbound",WarehouseTransactions3[[#This Row],[Transaction_Value]],0)</f>
        <v>224000</v>
      </c>
    </row>
    <row r="16" spans="1:26" x14ac:dyDescent="0.3">
      <c r="A16" s="9" t="s">
        <v>64</v>
      </c>
      <c r="B16" s="10">
        <v>46044</v>
      </c>
      <c r="C16" s="9" t="s">
        <v>65</v>
      </c>
      <c r="D16" s="11" t="s">
        <v>66</v>
      </c>
      <c r="E16" s="9" t="s">
        <v>16</v>
      </c>
      <c r="F16" s="9" t="s">
        <v>17</v>
      </c>
      <c r="G16" s="12">
        <v>42</v>
      </c>
      <c r="H16" s="11" t="s">
        <v>18</v>
      </c>
      <c r="I16" s="9" t="s">
        <v>67</v>
      </c>
      <c r="J16" s="12">
        <v>12400</v>
      </c>
      <c r="K16" s="12">
        <v>0</v>
      </c>
      <c r="L16" s="13">
        <v>11</v>
      </c>
      <c r="M16" s="9" t="s">
        <v>39</v>
      </c>
      <c r="N16" s="22">
        <f>DATE(YEAR(WarehouseTransactions3[[#This Row],[Date]]),MONTH(WarehouseTransactions3[[#This Row],[Date]]),1)</f>
        <v>46023</v>
      </c>
      <c r="O16" s="24">
        <f>WarehouseTransactions3[[#This Row],[Quantity]]*WarehouseTransactions3[[#This Row],[Unit_Cost]]</f>
        <v>520800</v>
      </c>
      <c r="P16" s="25">
        <f>WarehouseTransactions3[[#This Row],[Quantity]]-WarehouseTransactions3[[#This Row],[Damaged_Qty]]</f>
        <v>42</v>
      </c>
      <c r="Q16">
        <f>IF(WarehouseTransactions3[[#This Row],[Transaction_Type]]="Inbound",WarehouseTransactions3[[#This Row],[Quantity]],-WarehouseTransactions3[[#This Row],[Quantity]])</f>
        <v>42</v>
      </c>
      <c r="R16" s="26">
        <f>IFERROR(WarehouseTransactions3[[#This Row],[Damaged_Qty]]/WarehouseTransactions3[[#This Row],[Quantity]],0)</f>
        <v>0</v>
      </c>
      <c r="S16">
        <f>IF(WarehouseTransactions3[[#This Row],[Status]]="Delayed",1,0)</f>
        <v>1</v>
      </c>
      <c r="T16">
        <f>IF(WarehouseTransactions3[[#This Row],[Status]]="Pending",1,0)</f>
        <v>0</v>
      </c>
      <c r="U16" s="20">
        <f>IF(WarehouseTransactions3[[#This Row],[Processing_Time_Hours]]&gt;8,1,0)</f>
        <v>1</v>
      </c>
      <c r="V16" s="27">
        <f>WarehouseTransactions3[[#This Row],[Processing_Time_Hours]]/24</f>
        <v>0.45833333333333331</v>
      </c>
      <c r="W16" s="20">
        <f>IF(WarehouseTransactions3[[#This Row],[Transaction_Type]]="Inbound",WarehouseTransactions3[[#This Row],[Quantity]],0)</f>
        <v>42</v>
      </c>
      <c r="X16" s="20">
        <f>IF(WarehouseTransactions3[[#This Row],[Transaction_Type]]="Outbound",WarehouseTransactions3[[#This Row],[Quantity]],0)</f>
        <v>0</v>
      </c>
      <c r="Y16" s="24">
        <f>IF(WarehouseTransactions3[[#This Row],[Transaction_Type]]="Inbound",WarehouseTransactions3[[#This Row],[Transaction_Value]],0)</f>
        <v>520800</v>
      </c>
      <c r="Z16" s="24">
        <f>IF(WarehouseTransactions3[[#This Row],[Transaction_Type]]="Outbound",WarehouseTransactions3[[#This Row],[Transaction_Value]],0)</f>
        <v>0</v>
      </c>
    </row>
    <row r="17" spans="1:26" x14ac:dyDescent="0.3">
      <c r="A17" s="9" t="s">
        <v>68</v>
      </c>
      <c r="B17" s="10">
        <v>46046</v>
      </c>
      <c r="C17" s="9" t="s">
        <v>69</v>
      </c>
      <c r="D17" s="11" t="s">
        <v>70</v>
      </c>
      <c r="E17" s="9" t="s">
        <v>16</v>
      </c>
      <c r="F17" s="9" t="s">
        <v>31</v>
      </c>
      <c r="G17" s="12">
        <v>38</v>
      </c>
      <c r="H17" s="11" t="s">
        <v>18</v>
      </c>
      <c r="I17" s="9" t="s">
        <v>67</v>
      </c>
      <c r="J17" s="12">
        <v>7800</v>
      </c>
      <c r="K17" s="12">
        <v>0</v>
      </c>
      <c r="L17" s="13">
        <v>1.3</v>
      </c>
      <c r="M17" s="9" t="s">
        <v>20</v>
      </c>
      <c r="N17" s="22">
        <f>DATE(YEAR(WarehouseTransactions3[[#This Row],[Date]]),MONTH(WarehouseTransactions3[[#This Row],[Date]]),1)</f>
        <v>46023</v>
      </c>
      <c r="O17" s="24">
        <f>WarehouseTransactions3[[#This Row],[Quantity]]*WarehouseTransactions3[[#This Row],[Unit_Cost]]</f>
        <v>296400</v>
      </c>
      <c r="P17" s="25">
        <f>WarehouseTransactions3[[#This Row],[Quantity]]-WarehouseTransactions3[[#This Row],[Damaged_Qty]]</f>
        <v>38</v>
      </c>
      <c r="Q17">
        <f>IF(WarehouseTransactions3[[#This Row],[Transaction_Type]]="Inbound",WarehouseTransactions3[[#This Row],[Quantity]],-WarehouseTransactions3[[#This Row],[Quantity]])</f>
        <v>-38</v>
      </c>
      <c r="R17" s="26">
        <f>IFERROR(WarehouseTransactions3[[#This Row],[Damaged_Qty]]/WarehouseTransactions3[[#This Row],[Quantity]],0)</f>
        <v>0</v>
      </c>
      <c r="S17">
        <f>IF(WarehouseTransactions3[[#This Row],[Status]]="Delayed",1,0)</f>
        <v>0</v>
      </c>
      <c r="T17">
        <f>IF(WarehouseTransactions3[[#This Row],[Status]]="Pending",1,0)</f>
        <v>0</v>
      </c>
      <c r="U17" s="20">
        <f>IF(WarehouseTransactions3[[#This Row],[Processing_Time_Hours]]&gt;8,1,0)</f>
        <v>0</v>
      </c>
      <c r="V17" s="27">
        <f>WarehouseTransactions3[[#This Row],[Processing_Time_Hours]]/24</f>
        <v>5.4166666666666669E-2</v>
      </c>
      <c r="W17" s="20">
        <f>IF(WarehouseTransactions3[[#This Row],[Transaction_Type]]="Inbound",WarehouseTransactions3[[#This Row],[Quantity]],0)</f>
        <v>0</v>
      </c>
      <c r="X17" s="20">
        <f>IF(WarehouseTransactions3[[#This Row],[Transaction_Type]]="Outbound",WarehouseTransactions3[[#This Row],[Quantity]],0)</f>
        <v>38</v>
      </c>
      <c r="Y17" s="24">
        <f>IF(WarehouseTransactions3[[#This Row],[Transaction_Type]]="Inbound",WarehouseTransactions3[[#This Row],[Transaction_Value]],0)</f>
        <v>0</v>
      </c>
      <c r="Z17" s="24">
        <f>IF(WarehouseTransactions3[[#This Row],[Transaction_Type]]="Outbound",WarehouseTransactions3[[#This Row],[Transaction_Value]],0)</f>
        <v>296400</v>
      </c>
    </row>
    <row r="18" spans="1:26" x14ac:dyDescent="0.3">
      <c r="A18" s="9" t="s">
        <v>71</v>
      </c>
      <c r="B18" s="10">
        <v>46048</v>
      </c>
      <c r="C18" s="9" t="s">
        <v>72</v>
      </c>
      <c r="D18" s="11" t="s">
        <v>73</v>
      </c>
      <c r="E18" s="9" t="s">
        <v>47</v>
      </c>
      <c r="F18" s="9" t="s">
        <v>17</v>
      </c>
      <c r="G18" s="12">
        <v>57</v>
      </c>
      <c r="H18" s="11" t="s">
        <v>48</v>
      </c>
      <c r="I18" s="9" t="s">
        <v>74</v>
      </c>
      <c r="J18" s="12">
        <v>3100</v>
      </c>
      <c r="K18" s="12">
        <v>0</v>
      </c>
      <c r="L18" s="13">
        <v>1.7</v>
      </c>
      <c r="M18" s="9" t="s">
        <v>20</v>
      </c>
      <c r="N18" s="22">
        <f>DATE(YEAR(WarehouseTransactions3[[#This Row],[Date]]),MONTH(WarehouseTransactions3[[#This Row],[Date]]),1)</f>
        <v>46023</v>
      </c>
      <c r="O18" s="24">
        <f>WarehouseTransactions3[[#This Row],[Quantity]]*WarehouseTransactions3[[#This Row],[Unit_Cost]]</f>
        <v>176700</v>
      </c>
      <c r="P18" s="25">
        <f>WarehouseTransactions3[[#This Row],[Quantity]]-WarehouseTransactions3[[#This Row],[Damaged_Qty]]</f>
        <v>57</v>
      </c>
      <c r="Q18">
        <f>IF(WarehouseTransactions3[[#This Row],[Transaction_Type]]="Inbound",WarehouseTransactions3[[#This Row],[Quantity]],-WarehouseTransactions3[[#This Row],[Quantity]])</f>
        <v>57</v>
      </c>
      <c r="R18" s="26">
        <f>IFERROR(WarehouseTransactions3[[#This Row],[Damaged_Qty]]/WarehouseTransactions3[[#This Row],[Quantity]],0)</f>
        <v>0</v>
      </c>
      <c r="S18">
        <f>IF(WarehouseTransactions3[[#This Row],[Status]]="Delayed",1,0)</f>
        <v>0</v>
      </c>
      <c r="T18">
        <f>IF(WarehouseTransactions3[[#This Row],[Status]]="Pending",1,0)</f>
        <v>0</v>
      </c>
      <c r="U18" s="20">
        <f>IF(WarehouseTransactions3[[#This Row],[Processing_Time_Hours]]&gt;8,1,0)</f>
        <v>0</v>
      </c>
      <c r="V18" s="27">
        <f>WarehouseTransactions3[[#This Row],[Processing_Time_Hours]]/24</f>
        <v>7.0833333333333331E-2</v>
      </c>
      <c r="W18" s="20">
        <f>IF(WarehouseTransactions3[[#This Row],[Transaction_Type]]="Inbound",WarehouseTransactions3[[#This Row],[Quantity]],0)</f>
        <v>57</v>
      </c>
      <c r="X18" s="20">
        <f>IF(WarehouseTransactions3[[#This Row],[Transaction_Type]]="Outbound",WarehouseTransactions3[[#This Row],[Quantity]],0)</f>
        <v>0</v>
      </c>
      <c r="Y18" s="24">
        <f>IF(WarehouseTransactions3[[#This Row],[Transaction_Type]]="Inbound",WarehouseTransactions3[[#This Row],[Transaction_Value]],0)</f>
        <v>176700</v>
      </c>
      <c r="Z18" s="24">
        <f>IF(WarehouseTransactions3[[#This Row],[Transaction_Type]]="Outbound",WarehouseTransactions3[[#This Row],[Transaction_Value]],0)</f>
        <v>0</v>
      </c>
    </row>
    <row r="19" spans="1:26" x14ac:dyDescent="0.3">
      <c r="A19" s="9" t="s">
        <v>75</v>
      </c>
      <c r="B19" s="10">
        <v>46056</v>
      </c>
      <c r="C19" s="9" t="s">
        <v>45</v>
      </c>
      <c r="D19" s="11" t="s">
        <v>46</v>
      </c>
      <c r="E19" s="9" t="s">
        <v>47</v>
      </c>
      <c r="F19" s="9" t="s">
        <v>17</v>
      </c>
      <c r="G19" s="12">
        <v>21</v>
      </c>
      <c r="H19" s="11" t="s">
        <v>48</v>
      </c>
      <c r="I19" s="9" t="s">
        <v>49</v>
      </c>
      <c r="J19" s="12">
        <v>17200</v>
      </c>
      <c r="K19" s="12">
        <v>0</v>
      </c>
      <c r="L19" s="13">
        <v>4.5</v>
      </c>
      <c r="M19" s="9" t="s">
        <v>20</v>
      </c>
      <c r="N19" s="22">
        <f>DATE(YEAR(WarehouseTransactions3[[#This Row],[Date]]),MONTH(WarehouseTransactions3[[#This Row],[Date]]),1)</f>
        <v>46054</v>
      </c>
      <c r="O19" s="24">
        <f>WarehouseTransactions3[[#This Row],[Quantity]]*WarehouseTransactions3[[#This Row],[Unit_Cost]]</f>
        <v>361200</v>
      </c>
      <c r="P19" s="25">
        <f>WarehouseTransactions3[[#This Row],[Quantity]]-WarehouseTransactions3[[#This Row],[Damaged_Qty]]</f>
        <v>21</v>
      </c>
      <c r="Q19">
        <f>IF(WarehouseTransactions3[[#This Row],[Transaction_Type]]="Inbound",WarehouseTransactions3[[#This Row],[Quantity]],-WarehouseTransactions3[[#This Row],[Quantity]])</f>
        <v>21</v>
      </c>
      <c r="R19" s="26">
        <f>IFERROR(WarehouseTransactions3[[#This Row],[Damaged_Qty]]/WarehouseTransactions3[[#This Row],[Quantity]],0)</f>
        <v>0</v>
      </c>
      <c r="S19">
        <f>IF(WarehouseTransactions3[[#This Row],[Status]]="Delayed",1,0)</f>
        <v>0</v>
      </c>
      <c r="T19">
        <f>IF(WarehouseTransactions3[[#This Row],[Status]]="Pending",1,0)</f>
        <v>0</v>
      </c>
      <c r="U19" s="20">
        <f>IF(WarehouseTransactions3[[#This Row],[Processing_Time_Hours]]&gt;8,1,0)</f>
        <v>0</v>
      </c>
      <c r="V19" s="27">
        <f>WarehouseTransactions3[[#This Row],[Processing_Time_Hours]]/24</f>
        <v>0.1875</v>
      </c>
      <c r="W19" s="20">
        <f>IF(WarehouseTransactions3[[#This Row],[Transaction_Type]]="Inbound",WarehouseTransactions3[[#This Row],[Quantity]],0)</f>
        <v>21</v>
      </c>
      <c r="X19" s="20">
        <f>IF(WarehouseTransactions3[[#This Row],[Transaction_Type]]="Outbound",WarehouseTransactions3[[#This Row],[Quantity]],0)</f>
        <v>0</v>
      </c>
      <c r="Y19" s="24">
        <f>IF(WarehouseTransactions3[[#This Row],[Transaction_Type]]="Inbound",WarehouseTransactions3[[#This Row],[Transaction_Value]],0)</f>
        <v>361200</v>
      </c>
      <c r="Z19" s="24">
        <f>IF(WarehouseTransactions3[[#This Row],[Transaction_Type]]="Outbound",WarehouseTransactions3[[#This Row],[Transaction_Value]],0)</f>
        <v>0</v>
      </c>
    </row>
    <row r="20" spans="1:26" x14ac:dyDescent="0.3">
      <c r="A20" s="9" t="s">
        <v>76</v>
      </c>
      <c r="B20" s="10">
        <v>46056</v>
      </c>
      <c r="C20" s="9" t="s">
        <v>77</v>
      </c>
      <c r="D20" s="11" t="s">
        <v>78</v>
      </c>
      <c r="E20" s="9" t="s">
        <v>30</v>
      </c>
      <c r="F20" s="9" t="s">
        <v>31</v>
      </c>
      <c r="G20" s="12">
        <v>95</v>
      </c>
      <c r="H20" s="11" t="s">
        <v>32</v>
      </c>
      <c r="I20" s="9" t="s">
        <v>67</v>
      </c>
      <c r="J20" s="12">
        <v>36500</v>
      </c>
      <c r="K20" s="12">
        <v>0</v>
      </c>
      <c r="L20" s="13">
        <v>8.4</v>
      </c>
      <c r="M20" s="9" t="s">
        <v>20</v>
      </c>
      <c r="N20" s="22">
        <f>DATE(YEAR(WarehouseTransactions3[[#This Row],[Date]]),MONTH(WarehouseTransactions3[[#This Row],[Date]]),1)</f>
        <v>46054</v>
      </c>
      <c r="O20" s="24">
        <f>WarehouseTransactions3[[#This Row],[Quantity]]*WarehouseTransactions3[[#This Row],[Unit_Cost]]</f>
        <v>3467500</v>
      </c>
      <c r="P20" s="25">
        <f>WarehouseTransactions3[[#This Row],[Quantity]]-WarehouseTransactions3[[#This Row],[Damaged_Qty]]</f>
        <v>95</v>
      </c>
      <c r="Q20">
        <f>IF(WarehouseTransactions3[[#This Row],[Transaction_Type]]="Inbound",WarehouseTransactions3[[#This Row],[Quantity]],-WarehouseTransactions3[[#This Row],[Quantity]])</f>
        <v>-95</v>
      </c>
      <c r="R20" s="26">
        <f>IFERROR(WarehouseTransactions3[[#This Row],[Damaged_Qty]]/WarehouseTransactions3[[#This Row],[Quantity]],0)</f>
        <v>0</v>
      </c>
      <c r="S20">
        <f>IF(WarehouseTransactions3[[#This Row],[Status]]="Delayed",1,0)</f>
        <v>0</v>
      </c>
      <c r="T20">
        <f>IF(WarehouseTransactions3[[#This Row],[Status]]="Pending",1,0)</f>
        <v>0</v>
      </c>
      <c r="U20" s="20">
        <f>IF(WarehouseTransactions3[[#This Row],[Processing_Time_Hours]]&gt;8,1,0)</f>
        <v>1</v>
      </c>
      <c r="V20" s="27">
        <f>WarehouseTransactions3[[#This Row],[Processing_Time_Hours]]/24</f>
        <v>0.35000000000000003</v>
      </c>
      <c r="W20" s="20">
        <f>IF(WarehouseTransactions3[[#This Row],[Transaction_Type]]="Inbound",WarehouseTransactions3[[#This Row],[Quantity]],0)</f>
        <v>0</v>
      </c>
      <c r="X20" s="20">
        <f>IF(WarehouseTransactions3[[#This Row],[Transaction_Type]]="Outbound",WarehouseTransactions3[[#This Row],[Quantity]],0)</f>
        <v>95</v>
      </c>
      <c r="Y20" s="24">
        <f>IF(WarehouseTransactions3[[#This Row],[Transaction_Type]]="Inbound",WarehouseTransactions3[[#This Row],[Transaction_Value]],0)</f>
        <v>0</v>
      </c>
      <c r="Z20" s="24">
        <f>IF(WarehouseTransactions3[[#This Row],[Transaction_Type]]="Outbound",WarehouseTransactions3[[#This Row],[Transaction_Value]],0)</f>
        <v>3467500</v>
      </c>
    </row>
    <row r="21" spans="1:26" x14ac:dyDescent="0.3">
      <c r="A21" s="9" t="s">
        <v>79</v>
      </c>
      <c r="B21" s="10">
        <v>46057</v>
      </c>
      <c r="C21" s="9" t="s">
        <v>34</v>
      </c>
      <c r="D21" s="11" t="s">
        <v>35</v>
      </c>
      <c r="E21" s="9" t="s">
        <v>36</v>
      </c>
      <c r="F21" s="9" t="s">
        <v>31</v>
      </c>
      <c r="G21" s="12">
        <v>80</v>
      </c>
      <c r="H21" s="11" t="s">
        <v>37</v>
      </c>
      <c r="I21" s="9" t="s">
        <v>38</v>
      </c>
      <c r="J21" s="12">
        <v>13900</v>
      </c>
      <c r="K21" s="12">
        <v>0</v>
      </c>
      <c r="L21" s="13">
        <v>1.6</v>
      </c>
      <c r="M21" s="9" t="s">
        <v>20</v>
      </c>
      <c r="N21" s="22">
        <f>DATE(YEAR(WarehouseTransactions3[[#This Row],[Date]]),MONTH(WarehouseTransactions3[[#This Row],[Date]]),1)</f>
        <v>46054</v>
      </c>
      <c r="O21" s="24">
        <f>WarehouseTransactions3[[#This Row],[Quantity]]*WarehouseTransactions3[[#This Row],[Unit_Cost]]</f>
        <v>1112000</v>
      </c>
      <c r="P21" s="25">
        <f>WarehouseTransactions3[[#This Row],[Quantity]]-WarehouseTransactions3[[#This Row],[Damaged_Qty]]</f>
        <v>80</v>
      </c>
      <c r="Q21">
        <f>IF(WarehouseTransactions3[[#This Row],[Transaction_Type]]="Inbound",WarehouseTransactions3[[#This Row],[Quantity]],-WarehouseTransactions3[[#This Row],[Quantity]])</f>
        <v>-80</v>
      </c>
      <c r="R21" s="26">
        <f>IFERROR(WarehouseTransactions3[[#This Row],[Damaged_Qty]]/WarehouseTransactions3[[#This Row],[Quantity]],0)</f>
        <v>0</v>
      </c>
      <c r="S21">
        <f>IF(WarehouseTransactions3[[#This Row],[Status]]="Delayed",1,0)</f>
        <v>0</v>
      </c>
      <c r="T21">
        <f>IF(WarehouseTransactions3[[#This Row],[Status]]="Pending",1,0)</f>
        <v>0</v>
      </c>
      <c r="U21" s="20">
        <f>IF(WarehouseTransactions3[[#This Row],[Processing_Time_Hours]]&gt;8,1,0)</f>
        <v>0</v>
      </c>
      <c r="V21" s="27">
        <f>WarehouseTransactions3[[#This Row],[Processing_Time_Hours]]/24</f>
        <v>6.6666666666666666E-2</v>
      </c>
      <c r="W21" s="20">
        <f>IF(WarehouseTransactions3[[#This Row],[Transaction_Type]]="Inbound",WarehouseTransactions3[[#This Row],[Quantity]],0)</f>
        <v>0</v>
      </c>
      <c r="X21" s="20">
        <f>IF(WarehouseTransactions3[[#This Row],[Transaction_Type]]="Outbound",WarehouseTransactions3[[#This Row],[Quantity]],0)</f>
        <v>80</v>
      </c>
      <c r="Y21" s="24">
        <f>IF(WarehouseTransactions3[[#This Row],[Transaction_Type]]="Inbound",WarehouseTransactions3[[#This Row],[Transaction_Value]],0)</f>
        <v>0</v>
      </c>
      <c r="Z21" s="24">
        <f>IF(WarehouseTransactions3[[#This Row],[Transaction_Type]]="Outbound",WarehouseTransactions3[[#This Row],[Transaction_Value]],0)</f>
        <v>1112000</v>
      </c>
    </row>
    <row r="22" spans="1:26" x14ac:dyDescent="0.3">
      <c r="A22" s="9" t="s">
        <v>80</v>
      </c>
      <c r="B22" s="10">
        <v>46057</v>
      </c>
      <c r="C22" s="9" t="s">
        <v>22</v>
      </c>
      <c r="D22" s="11" t="s">
        <v>23</v>
      </c>
      <c r="E22" s="9" t="s">
        <v>24</v>
      </c>
      <c r="F22" s="9" t="s">
        <v>31</v>
      </c>
      <c r="G22" s="12">
        <v>86</v>
      </c>
      <c r="H22" s="11" t="s">
        <v>25</v>
      </c>
      <c r="I22" s="9" t="s">
        <v>26</v>
      </c>
      <c r="J22" s="12">
        <v>11200</v>
      </c>
      <c r="K22" s="12">
        <v>0</v>
      </c>
      <c r="L22" s="13">
        <v>2.4</v>
      </c>
      <c r="M22" s="9" t="s">
        <v>20</v>
      </c>
      <c r="N22" s="22">
        <f>DATE(YEAR(WarehouseTransactions3[[#This Row],[Date]]),MONTH(WarehouseTransactions3[[#This Row],[Date]]),1)</f>
        <v>46054</v>
      </c>
      <c r="O22" s="24">
        <f>WarehouseTransactions3[[#This Row],[Quantity]]*WarehouseTransactions3[[#This Row],[Unit_Cost]]</f>
        <v>963200</v>
      </c>
      <c r="P22" s="25">
        <f>WarehouseTransactions3[[#This Row],[Quantity]]-WarehouseTransactions3[[#This Row],[Damaged_Qty]]</f>
        <v>86</v>
      </c>
      <c r="Q22">
        <f>IF(WarehouseTransactions3[[#This Row],[Transaction_Type]]="Inbound",WarehouseTransactions3[[#This Row],[Quantity]],-WarehouseTransactions3[[#This Row],[Quantity]])</f>
        <v>-86</v>
      </c>
      <c r="R22" s="26">
        <f>IFERROR(WarehouseTransactions3[[#This Row],[Damaged_Qty]]/WarehouseTransactions3[[#This Row],[Quantity]],0)</f>
        <v>0</v>
      </c>
      <c r="S22">
        <f>IF(WarehouseTransactions3[[#This Row],[Status]]="Delayed",1,0)</f>
        <v>0</v>
      </c>
      <c r="T22">
        <f>IF(WarehouseTransactions3[[#This Row],[Status]]="Pending",1,0)</f>
        <v>0</v>
      </c>
      <c r="U22" s="20">
        <f>IF(WarehouseTransactions3[[#This Row],[Processing_Time_Hours]]&gt;8,1,0)</f>
        <v>0</v>
      </c>
      <c r="V22" s="27">
        <f>WarehouseTransactions3[[#This Row],[Processing_Time_Hours]]/24</f>
        <v>9.9999999999999992E-2</v>
      </c>
      <c r="W22" s="20">
        <f>IF(WarehouseTransactions3[[#This Row],[Transaction_Type]]="Inbound",WarehouseTransactions3[[#This Row],[Quantity]],0)</f>
        <v>0</v>
      </c>
      <c r="X22" s="20">
        <f>IF(WarehouseTransactions3[[#This Row],[Transaction_Type]]="Outbound",WarehouseTransactions3[[#This Row],[Quantity]],0)</f>
        <v>86</v>
      </c>
      <c r="Y22" s="24">
        <f>IF(WarehouseTransactions3[[#This Row],[Transaction_Type]]="Inbound",WarehouseTransactions3[[#This Row],[Transaction_Value]],0)</f>
        <v>0</v>
      </c>
      <c r="Z22" s="24">
        <f>IF(WarehouseTransactions3[[#This Row],[Transaction_Type]]="Outbound",WarehouseTransactions3[[#This Row],[Transaction_Value]],0)</f>
        <v>963200</v>
      </c>
    </row>
    <row r="23" spans="1:26" x14ac:dyDescent="0.3">
      <c r="A23" s="9" t="s">
        <v>81</v>
      </c>
      <c r="B23" s="10">
        <v>46061</v>
      </c>
      <c r="C23" s="9" t="s">
        <v>72</v>
      </c>
      <c r="D23" s="11" t="s">
        <v>73</v>
      </c>
      <c r="E23" s="9" t="s">
        <v>47</v>
      </c>
      <c r="F23" s="9" t="s">
        <v>31</v>
      </c>
      <c r="G23" s="12">
        <v>31</v>
      </c>
      <c r="H23" s="11" t="s">
        <v>48</v>
      </c>
      <c r="I23" s="9" t="s">
        <v>74</v>
      </c>
      <c r="J23" s="12">
        <v>3100</v>
      </c>
      <c r="K23" s="12">
        <v>0</v>
      </c>
      <c r="L23" s="13">
        <v>1.8</v>
      </c>
      <c r="M23" s="9" t="s">
        <v>20</v>
      </c>
      <c r="N23" s="22">
        <f>DATE(YEAR(WarehouseTransactions3[[#This Row],[Date]]),MONTH(WarehouseTransactions3[[#This Row],[Date]]),1)</f>
        <v>46054</v>
      </c>
      <c r="O23" s="24">
        <f>WarehouseTransactions3[[#This Row],[Quantity]]*WarehouseTransactions3[[#This Row],[Unit_Cost]]</f>
        <v>96100</v>
      </c>
      <c r="P23" s="25">
        <f>WarehouseTransactions3[[#This Row],[Quantity]]-WarehouseTransactions3[[#This Row],[Damaged_Qty]]</f>
        <v>31</v>
      </c>
      <c r="Q23">
        <f>IF(WarehouseTransactions3[[#This Row],[Transaction_Type]]="Inbound",WarehouseTransactions3[[#This Row],[Quantity]],-WarehouseTransactions3[[#This Row],[Quantity]])</f>
        <v>-31</v>
      </c>
      <c r="R23" s="26">
        <f>IFERROR(WarehouseTransactions3[[#This Row],[Damaged_Qty]]/WarehouseTransactions3[[#This Row],[Quantity]],0)</f>
        <v>0</v>
      </c>
      <c r="S23">
        <f>IF(WarehouseTransactions3[[#This Row],[Status]]="Delayed",1,0)</f>
        <v>0</v>
      </c>
      <c r="T23">
        <f>IF(WarehouseTransactions3[[#This Row],[Status]]="Pending",1,0)</f>
        <v>0</v>
      </c>
      <c r="U23" s="20">
        <f>IF(WarehouseTransactions3[[#This Row],[Processing_Time_Hours]]&gt;8,1,0)</f>
        <v>0</v>
      </c>
      <c r="V23" s="27">
        <f>WarehouseTransactions3[[#This Row],[Processing_Time_Hours]]/24</f>
        <v>7.4999999999999997E-2</v>
      </c>
      <c r="W23" s="20">
        <f>IF(WarehouseTransactions3[[#This Row],[Transaction_Type]]="Inbound",WarehouseTransactions3[[#This Row],[Quantity]],0)</f>
        <v>0</v>
      </c>
      <c r="X23" s="20">
        <f>IF(WarehouseTransactions3[[#This Row],[Transaction_Type]]="Outbound",WarehouseTransactions3[[#This Row],[Quantity]],0)</f>
        <v>31</v>
      </c>
      <c r="Y23" s="24">
        <f>IF(WarehouseTransactions3[[#This Row],[Transaction_Type]]="Inbound",WarehouseTransactions3[[#This Row],[Transaction_Value]],0)</f>
        <v>0</v>
      </c>
      <c r="Z23" s="24">
        <f>IF(WarehouseTransactions3[[#This Row],[Transaction_Type]]="Outbound",WarehouseTransactions3[[#This Row],[Transaction_Value]],0)</f>
        <v>96100</v>
      </c>
    </row>
    <row r="24" spans="1:26" x14ac:dyDescent="0.3">
      <c r="A24" s="9" t="s">
        <v>82</v>
      </c>
      <c r="B24" s="10">
        <v>46062</v>
      </c>
      <c r="C24" s="9" t="s">
        <v>69</v>
      </c>
      <c r="D24" s="11" t="s">
        <v>70</v>
      </c>
      <c r="E24" s="9" t="s">
        <v>16</v>
      </c>
      <c r="F24" s="9" t="s">
        <v>17</v>
      </c>
      <c r="G24" s="12">
        <v>78</v>
      </c>
      <c r="H24" s="11" t="s">
        <v>18</v>
      </c>
      <c r="I24" s="9" t="s">
        <v>67</v>
      </c>
      <c r="J24" s="12">
        <v>7800</v>
      </c>
      <c r="K24" s="12">
        <v>0</v>
      </c>
      <c r="L24" s="13">
        <v>7.5</v>
      </c>
      <c r="M24" s="9" t="s">
        <v>39</v>
      </c>
      <c r="N24" s="22">
        <f>DATE(YEAR(WarehouseTransactions3[[#This Row],[Date]]),MONTH(WarehouseTransactions3[[#This Row],[Date]]),1)</f>
        <v>46054</v>
      </c>
      <c r="O24" s="24">
        <f>WarehouseTransactions3[[#This Row],[Quantity]]*WarehouseTransactions3[[#This Row],[Unit_Cost]]</f>
        <v>608400</v>
      </c>
      <c r="P24" s="25">
        <f>WarehouseTransactions3[[#This Row],[Quantity]]-WarehouseTransactions3[[#This Row],[Damaged_Qty]]</f>
        <v>78</v>
      </c>
      <c r="Q24">
        <f>IF(WarehouseTransactions3[[#This Row],[Transaction_Type]]="Inbound",WarehouseTransactions3[[#This Row],[Quantity]],-WarehouseTransactions3[[#This Row],[Quantity]])</f>
        <v>78</v>
      </c>
      <c r="R24" s="26">
        <f>IFERROR(WarehouseTransactions3[[#This Row],[Damaged_Qty]]/WarehouseTransactions3[[#This Row],[Quantity]],0)</f>
        <v>0</v>
      </c>
      <c r="S24">
        <f>IF(WarehouseTransactions3[[#This Row],[Status]]="Delayed",1,0)</f>
        <v>1</v>
      </c>
      <c r="T24">
        <f>IF(WarehouseTransactions3[[#This Row],[Status]]="Pending",1,0)</f>
        <v>0</v>
      </c>
      <c r="U24" s="20">
        <f>IF(WarehouseTransactions3[[#This Row],[Processing_Time_Hours]]&gt;8,1,0)</f>
        <v>0</v>
      </c>
      <c r="V24" s="27">
        <f>WarehouseTransactions3[[#This Row],[Processing_Time_Hours]]/24</f>
        <v>0.3125</v>
      </c>
      <c r="W24" s="20">
        <f>IF(WarehouseTransactions3[[#This Row],[Transaction_Type]]="Inbound",WarehouseTransactions3[[#This Row],[Quantity]],0)</f>
        <v>78</v>
      </c>
      <c r="X24" s="20">
        <f>IF(WarehouseTransactions3[[#This Row],[Transaction_Type]]="Outbound",WarehouseTransactions3[[#This Row],[Quantity]],0)</f>
        <v>0</v>
      </c>
      <c r="Y24" s="24">
        <f>IF(WarehouseTransactions3[[#This Row],[Transaction_Type]]="Inbound",WarehouseTransactions3[[#This Row],[Transaction_Value]],0)</f>
        <v>608400</v>
      </c>
      <c r="Z24" s="24">
        <f>IF(WarehouseTransactions3[[#This Row],[Transaction_Type]]="Outbound",WarehouseTransactions3[[#This Row],[Transaction_Value]],0)</f>
        <v>0</v>
      </c>
    </row>
    <row r="25" spans="1:26" x14ac:dyDescent="0.3">
      <c r="A25" s="9" t="s">
        <v>83</v>
      </c>
      <c r="B25" s="10">
        <v>46063</v>
      </c>
      <c r="C25" s="9" t="s">
        <v>65</v>
      </c>
      <c r="D25" s="11" t="s">
        <v>66</v>
      </c>
      <c r="E25" s="9" t="s">
        <v>16</v>
      </c>
      <c r="F25" s="9" t="s">
        <v>17</v>
      </c>
      <c r="G25" s="12">
        <v>39</v>
      </c>
      <c r="H25" s="11" t="s">
        <v>18</v>
      </c>
      <c r="I25" s="9" t="s">
        <v>67</v>
      </c>
      <c r="J25" s="12">
        <v>12400</v>
      </c>
      <c r="K25" s="12">
        <v>0</v>
      </c>
      <c r="L25" s="13">
        <v>4.5</v>
      </c>
      <c r="M25" s="9" t="s">
        <v>20</v>
      </c>
      <c r="N25" s="22">
        <f>DATE(YEAR(WarehouseTransactions3[[#This Row],[Date]]),MONTH(WarehouseTransactions3[[#This Row],[Date]]),1)</f>
        <v>46054</v>
      </c>
      <c r="O25" s="24">
        <f>WarehouseTransactions3[[#This Row],[Quantity]]*WarehouseTransactions3[[#This Row],[Unit_Cost]]</f>
        <v>483600</v>
      </c>
      <c r="P25" s="25">
        <f>WarehouseTransactions3[[#This Row],[Quantity]]-WarehouseTransactions3[[#This Row],[Damaged_Qty]]</f>
        <v>39</v>
      </c>
      <c r="Q25">
        <f>IF(WarehouseTransactions3[[#This Row],[Transaction_Type]]="Inbound",WarehouseTransactions3[[#This Row],[Quantity]],-WarehouseTransactions3[[#This Row],[Quantity]])</f>
        <v>39</v>
      </c>
      <c r="R25" s="26">
        <f>IFERROR(WarehouseTransactions3[[#This Row],[Damaged_Qty]]/WarehouseTransactions3[[#This Row],[Quantity]],0)</f>
        <v>0</v>
      </c>
      <c r="S25">
        <f>IF(WarehouseTransactions3[[#This Row],[Status]]="Delayed",1,0)</f>
        <v>0</v>
      </c>
      <c r="T25">
        <f>IF(WarehouseTransactions3[[#This Row],[Status]]="Pending",1,0)</f>
        <v>0</v>
      </c>
      <c r="U25" s="20">
        <f>IF(WarehouseTransactions3[[#This Row],[Processing_Time_Hours]]&gt;8,1,0)</f>
        <v>0</v>
      </c>
      <c r="V25" s="27">
        <f>WarehouseTransactions3[[#This Row],[Processing_Time_Hours]]/24</f>
        <v>0.1875</v>
      </c>
      <c r="W25" s="20">
        <f>IF(WarehouseTransactions3[[#This Row],[Transaction_Type]]="Inbound",WarehouseTransactions3[[#This Row],[Quantity]],0)</f>
        <v>39</v>
      </c>
      <c r="X25" s="20">
        <f>IF(WarehouseTransactions3[[#This Row],[Transaction_Type]]="Outbound",WarehouseTransactions3[[#This Row],[Quantity]],0)</f>
        <v>0</v>
      </c>
      <c r="Y25" s="24">
        <f>IF(WarehouseTransactions3[[#This Row],[Transaction_Type]]="Inbound",WarehouseTransactions3[[#This Row],[Transaction_Value]],0)</f>
        <v>483600</v>
      </c>
      <c r="Z25" s="24">
        <f>IF(WarehouseTransactions3[[#This Row],[Transaction_Type]]="Outbound",WarehouseTransactions3[[#This Row],[Transaction_Value]],0)</f>
        <v>0</v>
      </c>
    </row>
    <row r="26" spans="1:26" x14ac:dyDescent="0.3">
      <c r="A26" s="9" t="s">
        <v>84</v>
      </c>
      <c r="B26" s="10">
        <v>46065</v>
      </c>
      <c r="C26" s="9" t="s">
        <v>34</v>
      </c>
      <c r="D26" s="11" t="s">
        <v>35</v>
      </c>
      <c r="E26" s="9" t="s">
        <v>36</v>
      </c>
      <c r="F26" s="9" t="s">
        <v>17</v>
      </c>
      <c r="G26" s="12">
        <v>83</v>
      </c>
      <c r="H26" s="11" t="s">
        <v>37</v>
      </c>
      <c r="I26" s="9" t="s">
        <v>38</v>
      </c>
      <c r="J26" s="12">
        <v>13900</v>
      </c>
      <c r="K26" s="12">
        <v>0</v>
      </c>
      <c r="L26" s="13">
        <v>5.7</v>
      </c>
      <c r="M26" s="9" t="s">
        <v>20</v>
      </c>
      <c r="N26" s="22">
        <f>DATE(YEAR(WarehouseTransactions3[[#This Row],[Date]]),MONTH(WarehouseTransactions3[[#This Row],[Date]]),1)</f>
        <v>46054</v>
      </c>
      <c r="O26" s="24">
        <f>WarehouseTransactions3[[#This Row],[Quantity]]*WarehouseTransactions3[[#This Row],[Unit_Cost]]</f>
        <v>1153700</v>
      </c>
      <c r="P26" s="25">
        <f>WarehouseTransactions3[[#This Row],[Quantity]]-WarehouseTransactions3[[#This Row],[Damaged_Qty]]</f>
        <v>83</v>
      </c>
      <c r="Q26">
        <f>IF(WarehouseTransactions3[[#This Row],[Transaction_Type]]="Inbound",WarehouseTransactions3[[#This Row],[Quantity]],-WarehouseTransactions3[[#This Row],[Quantity]])</f>
        <v>83</v>
      </c>
      <c r="R26" s="26">
        <f>IFERROR(WarehouseTransactions3[[#This Row],[Damaged_Qty]]/WarehouseTransactions3[[#This Row],[Quantity]],0)</f>
        <v>0</v>
      </c>
      <c r="S26">
        <f>IF(WarehouseTransactions3[[#This Row],[Status]]="Delayed",1,0)</f>
        <v>0</v>
      </c>
      <c r="T26">
        <f>IF(WarehouseTransactions3[[#This Row],[Status]]="Pending",1,0)</f>
        <v>0</v>
      </c>
      <c r="U26" s="20">
        <f>IF(WarehouseTransactions3[[#This Row],[Processing_Time_Hours]]&gt;8,1,0)</f>
        <v>0</v>
      </c>
      <c r="V26" s="27">
        <f>WarehouseTransactions3[[#This Row],[Processing_Time_Hours]]/24</f>
        <v>0.23750000000000002</v>
      </c>
      <c r="W26" s="20">
        <f>IF(WarehouseTransactions3[[#This Row],[Transaction_Type]]="Inbound",WarehouseTransactions3[[#This Row],[Quantity]],0)</f>
        <v>83</v>
      </c>
      <c r="X26" s="20">
        <f>IF(WarehouseTransactions3[[#This Row],[Transaction_Type]]="Outbound",WarehouseTransactions3[[#This Row],[Quantity]],0)</f>
        <v>0</v>
      </c>
      <c r="Y26" s="24">
        <f>IF(WarehouseTransactions3[[#This Row],[Transaction_Type]]="Inbound",WarehouseTransactions3[[#This Row],[Transaction_Value]],0)</f>
        <v>1153700</v>
      </c>
      <c r="Z26" s="24">
        <f>IF(WarehouseTransactions3[[#This Row],[Transaction_Type]]="Outbound",WarehouseTransactions3[[#This Row],[Transaction_Value]],0)</f>
        <v>0</v>
      </c>
    </row>
    <row r="27" spans="1:26" x14ac:dyDescent="0.3">
      <c r="A27" s="9" t="s">
        <v>85</v>
      </c>
      <c r="B27" s="10">
        <v>46066</v>
      </c>
      <c r="C27" s="9" t="s">
        <v>41</v>
      </c>
      <c r="D27" s="11" t="s">
        <v>42</v>
      </c>
      <c r="E27" s="9" t="s">
        <v>16</v>
      </c>
      <c r="F27" s="9" t="s">
        <v>31</v>
      </c>
      <c r="G27" s="12">
        <v>53</v>
      </c>
      <c r="H27" s="11" t="s">
        <v>18</v>
      </c>
      <c r="I27" s="9" t="s">
        <v>19</v>
      </c>
      <c r="J27" s="12">
        <v>54500</v>
      </c>
      <c r="K27" s="12">
        <v>0</v>
      </c>
      <c r="L27" s="13">
        <v>4.7</v>
      </c>
      <c r="M27" s="9" t="s">
        <v>20</v>
      </c>
      <c r="N27" s="22">
        <f>DATE(YEAR(WarehouseTransactions3[[#This Row],[Date]]),MONTH(WarehouseTransactions3[[#This Row],[Date]]),1)</f>
        <v>46054</v>
      </c>
      <c r="O27" s="24">
        <f>WarehouseTransactions3[[#This Row],[Quantity]]*WarehouseTransactions3[[#This Row],[Unit_Cost]]</f>
        <v>2888500</v>
      </c>
      <c r="P27" s="25">
        <f>WarehouseTransactions3[[#This Row],[Quantity]]-WarehouseTransactions3[[#This Row],[Damaged_Qty]]</f>
        <v>53</v>
      </c>
      <c r="Q27">
        <f>IF(WarehouseTransactions3[[#This Row],[Transaction_Type]]="Inbound",WarehouseTransactions3[[#This Row],[Quantity]],-WarehouseTransactions3[[#This Row],[Quantity]])</f>
        <v>-53</v>
      </c>
      <c r="R27" s="26">
        <f>IFERROR(WarehouseTransactions3[[#This Row],[Damaged_Qty]]/WarehouseTransactions3[[#This Row],[Quantity]],0)</f>
        <v>0</v>
      </c>
      <c r="S27">
        <f>IF(WarehouseTransactions3[[#This Row],[Status]]="Delayed",1,0)</f>
        <v>0</v>
      </c>
      <c r="T27">
        <f>IF(WarehouseTransactions3[[#This Row],[Status]]="Pending",1,0)</f>
        <v>0</v>
      </c>
      <c r="U27" s="20">
        <f>IF(WarehouseTransactions3[[#This Row],[Processing_Time_Hours]]&gt;8,1,0)</f>
        <v>0</v>
      </c>
      <c r="V27" s="27">
        <f>WarehouseTransactions3[[#This Row],[Processing_Time_Hours]]/24</f>
        <v>0.19583333333333333</v>
      </c>
      <c r="W27" s="20">
        <f>IF(WarehouseTransactions3[[#This Row],[Transaction_Type]]="Inbound",WarehouseTransactions3[[#This Row],[Quantity]],0)</f>
        <v>0</v>
      </c>
      <c r="X27" s="20">
        <f>IF(WarehouseTransactions3[[#This Row],[Transaction_Type]]="Outbound",WarehouseTransactions3[[#This Row],[Quantity]],0)</f>
        <v>53</v>
      </c>
      <c r="Y27" s="24">
        <f>IF(WarehouseTransactions3[[#This Row],[Transaction_Type]]="Inbound",WarehouseTransactions3[[#This Row],[Transaction_Value]],0)</f>
        <v>0</v>
      </c>
      <c r="Z27" s="24">
        <f>IF(WarehouseTransactions3[[#This Row],[Transaction_Type]]="Outbound",WarehouseTransactions3[[#This Row],[Transaction_Value]],0)</f>
        <v>2888500</v>
      </c>
    </row>
    <row r="28" spans="1:26" x14ac:dyDescent="0.3">
      <c r="A28" s="9" t="s">
        <v>86</v>
      </c>
      <c r="B28" s="10">
        <v>46070</v>
      </c>
      <c r="C28" s="9" t="s">
        <v>14</v>
      </c>
      <c r="D28" s="11" t="s">
        <v>15</v>
      </c>
      <c r="E28" s="9" t="s">
        <v>16</v>
      </c>
      <c r="F28" s="9" t="s">
        <v>31</v>
      </c>
      <c r="G28" s="12">
        <v>25</v>
      </c>
      <c r="H28" s="11" t="s">
        <v>18</v>
      </c>
      <c r="I28" s="9" t="s">
        <v>19</v>
      </c>
      <c r="J28" s="12">
        <v>6500</v>
      </c>
      <c r="K28" s="12">
        <v>0</v>
      </c>
      <c r="L28" s="13">
        <v>4.5999999999999996</v>
      </c>
      <c r="M28" s="9" t="s">
        <v>20</v>
      </c>
      <c r="N28" s="22">
        <f>DATE(YEAR(WarehouseTransactions3[[#This Row],[Date]]),MONTH(WarehouseTransactions3[[#This Row],[Date]]),1)</f>
        <v>46054</v>
      </c>
      <c r="O28" s="24">
        <f>WarehouseTransactions3[[#This Row],[Quantity]]*WarehouseTransactions3[[#This Row],[Unit_Cost]]</f>
        <v>162500</v>
      </c>
      <c r="P28" s="25">
        <f>WarehouseTransactions3[[#This Row],[Quantity]]-WarehouseTransactions3[[#This Row],[Damaged_Qty]]</f>
        <v>25</v>
      </c>
      <c r="Q28">
        <f>IF(WarehouseTransactions3[[#This Row],[Transaction_Type]]="Inbound",WarehouseTransactions3[[#This Row],[Quantity]],-WarehouseTransactions3[[#This Row],[Quantity]])</f>
        <v>-25</v>
      </c>
      <c r="R28" s="26">
        <f>IFERROR(WarehouseTransactions3[[#This Row],[Damaged_Qty]]/WarehouseTransactions3[[#This Row],[Quantity]],0)</f>
        <v>0</v>
      </c>
      <c r="S28">
        <f>IF(WarehouseTransactions3[[#This Row],[Status]]="Delayed",1,0)</f>
        <v>0</v>
      </c>
      <c r="T28">
        <f>IF(WarehouseTransactions3[[#This Row],[Status]]="Pending",1,0)</f>
        <v>0</v>
      </c>
      <c r="U28" s="20">
        <f>IF(WarehouseTransactions3[[#This Row],[Processing_Time_Hours]]&gt;8,1,0)</f>
        <v>0</v>
      </c>
      <c r="V28" s="27">
        <f>WarehouseTransactions3[[#This Row],[Processing_Time_Hours]]/24</f>
        <v>0.19166666666666665</v>
      </c>
      <c r="W28" s="20">
        <f>IF(WarehouseTransactions3[[#This Row],[Transaction_Type]]="Inbound",WarehouseTransactions3[[#This Row],[Quantity]],0)</f>
        <v>0</v>
      </c>
      <c r="X28" s="20">
        <f>IF(WarehouseTransactions3[[#This Row],[Transaction_Type]]="Outbound",WarehouseTransactions3[[#This Row],[Quantity]],0)</f>
        <v>25</v>
      </c>
      <c r="Y28" s="24">
        <f>IF(WarehouseTransactions3[[#This Row],[Transaction_Type]]="Inbound",WarehouseTransactions3[[#This Row],[Transaction_Value]],0)</f>
        <v>0</v>
      </c>
      <c r="Z28" s="24">
        <f>IF(WarehouseTransactions3[[#This Row],[Transaction_Type]]="Outbound",WarehouseTransactions3[[#This Row],[Transaction_Value]],0)</f>
        <v>162500</v>
      </c>
    </row>
    <row r="29" spans="1:26" x14ac:dyDescent="0.3">
      <c r="A29" s="9" t="s">
        <v>87</v>
      </c>
      <c r="B29" s="10">
        <v>46070</v>
      </c>
      <c r="C29" s="9" t="s">
        <v>41</v>
      </c>
      <c r="D29" s="11" t="s">
        <v>42</v>
      </c>
      <c r="E29" s="9" t="s">
        <v>16</v>
      </c>
      <c r="F29" s="9" t="s">
        <v>17</v>
      </c>
      <c r="G29" s="12">
        <v>100</v>
      </c>
      <c r="H29" s="11" t="s">
        <v>18</v>
      </c>
      <c r="I29" s="9" t="s">
        <v>19</v>
      </c>
      <c r="J29" s="12">
        <v>54500</v>
      </c>
      <c r="K29" s="12">
        <v>0</v>
      </c>
      <c r="L29" s="13">
        <v>3.3</v>
      </c>
      <c r="M29" s="9" t="s">
        <v>20</v>
      </c>
      <c r="N29" s="22">
        <f>DATE(YEAR(WarehouseTransactions3[[#This Row],[Date]]),MONTH(WarehouseTransactions3[[#This Row],[Date]]),1)</f>
        <v>46054</v>
      </c>
      <c r="O29" s="24">
        <f>WarehouseTransactions3[[#This Row],[Quantity]]*WarehouseTransactions3[[#This Row],[Unit_Cost]]</f>
        <v>5450000</v>
      </c>
      <c r="P29" s="25">
        <f>WarehouseTransactions3[[#This Row],[Quantity]]-WarehouseTransactions3[[#This Row],[Damaged_Qty]]</f>
        <v>100</v>
      </c>
      <c r="Q29">
        <f>IF(WarehouseTransactions3[[#This Row],[Transaction_Type]]="Inbound",WarehouseTransactions3[[#This Row],[Quantity]],-WarehouseTransactions3[[#This Row],[Quantity]])</f>
        <v>100</v>
      </c>
      <c r="R29" s="26">
        <f>IFERROR(WarehouseTransactions3[[#This Row],[Damaged_Qty]]/WarehouseTransactions3[[#This Row],[Quantity]],0)</f>
        <v>0</v>
      </c>
      <c r="S29">
        <f>IF(WarehouseTransactions3[[#This Row],[Status]]="Delayed",1,0)</f>
        <v>0</v>
      </c>
      <c r="T29">
        <f>IF(WarehouseTransactions3[[#This Row],[Status]]="Pending",1,0)</f>
        <v>0</v>
      </c>
      <c r="U29" s="20">
        <f>IF(WarehouseTransactions3[[#This Row],[Processing_Time_Hours]]&gt;8,1,0)</f>
        <v>0</v>
      </c>
      <c r="V29" s="27">
        <f>WarehouseTransactions3[[#This Row],[Processing_Time_Hours]]/24</f>
        <v>0.13749999999999998</v>
      </c>
      <c r="W29" s="20">
        <f>IF(WarehouseTransactions3[[#This Row],[Transaction_Type]]="Inbound",WarehouseTransactions3[[#This Row],[Quantity]],0)</f>
        <v>100</v>
      </c>
      <c r="X29" s="20">
        <f>IF(WarehouseTransactions3[[#This Row],[Transaction_Type]]="Outbound",WarehouseTransactions3[[#This Row],[Quantity]],0)</f>
        <v>0</v>
      </c>
      <c r="Y29" s="24">
        <f>IF(WarehouseTransactions3[[#This Row],[Transaction_Type]]="Inbound",WarehouseTransactions3[[#This Row],[Transaction_Value]],0)</f>
        <v>5450000</v>
      </c>
      <c r="Z29" s="24">
        <f>IF(WarehouseTransactions3[[#This Row],[Transaction_Type]]="Outbound",WarehouseTransactions3[[#This Row],[Transaction_Value]],0)</f>
        <v>0</v>
      </c>
    </row>
    <row r="30" spans="1:26" x14ac:dyDescent="0.3">
      <c r="A30" s="9" t="s">
        <v>88</v>
      </c>
      <c r="B30" s="10">
        <v>46071</v>
      </c>
      <c r="C30" s="9" t="s">
        <v>65</v>
      </c>
      <c r="D30" s="11" t="s">
        <v>66</v>
      </c>
      <c r="E30" s="9" t="s">
        <v>16</v>
      </c>
      <c r="F30" s="9" t="s">
        <v>31</v>
      </c>
      <c r="G30" s="12">
        <v>80</v>
      </c>
      <c r="H30" s="11" t="s">
        <v>18</v>
      </c>
      <c r="I30" s="9" t="s">
        <v>67</v>
      </c>
      <c r="J30" s="12">
        <v>12400</v>
      </c>
      <c r="K30" s="12">
        <v>0</v>
      </c>
      <c r="L30" s="13">
        <v>2.5</v>
      </c>
      <c r="M30" s="9" t="s">
        <v>20</v>
      </c>
      <c r="N30" s="22">
        <f>DATE(YEAR(WarehouseTransactions3[[#This Row],[Date]]),MONTH(WarehouseTransactions3[[#This Row],[Date]]),1)</f>
        <v>46054</v>
      </c>
      <c r="O30" s="24">
        <f>WarehouseTransactions3[[#This Row],[Quantity]]*WarehouseTransactions3[[#This Row],[Unit_Cost]]</f>
        <v>992000</v>
      </c>
      <c r="P30" s="25">
        <f>WarehouseTransactions3[[#This Row],[Quantity]]-WarehouseTransactions3[[#This Row],[Damaged_Qty]]</f>
        <v>80</v>
      </c>
      <c r="Q30">
        <f>IF(WarehouseTransactions3[[#This Row],[Transaction_Type]]="Inbound",WarehouseTransactions3[[#This Row],[Quantity]],-WarehouseTransactions3[[#This Row],[Quantity]])</f>
        <v>-80</v>
      </c>
      <c r="R30" s="26">
        <f>IFERROR(WarehouseTransactions3[[#This Row],[Damaged_Qty]]/WarehouseTransactions3[[#This Row],[Quantity]],0)</f>
        <v>0</v>
      </c>
      <c r="S30">
        <f>IF(WarehouseTransactions3[[#This Row],[Status]]="Delayed",1,0)</f>
        <v>0</v>
      </c>
      <c r="T30">
        <f>IF(WarehouseTransactions3[[#This Row],[Status]]="Pending",1,0)</f>
        <v>0</v>
      </c>
      <c r="U30" s="20">
        <f>IF(WarehouseTransactions3[[#This Row],[Processing_Time_Hours]]&gt;8,1,0)</f>
        <v>0</v>
      </c>
      <c r="V30" s="27">
        <f>WarehouseTransactions3[[#This Row],[Processing_Time_Hours]]/24</f>
        <v>0.10416666666666667</v>
      </c>
      <c r="W30" s="20">
        <f>IF(WarehouseTransactions3[[#This Row],[Transaction_Type]]="Inbound",WarehouseTransactions3[[#This Row],[Quantity]],0)</f>
        <v>0</v>
      </c>
      <c r="X30" s="20">
        <f>IF(WarehouseTransactions3[[#This Row],[Transaction_Type]]="Outbound",WarehouseTransactions3[[#This Row],[Quantity]],0)</f>
        <v>80</v>
      </c>
      <c r="Y30" s="24">
        <f>IF(WarehouseTransactions3[[#This Row],[Transaction_Type]]="Inbound",WarehouseTransactions3[[#This Row],[Transaction_Value]],0)</f>
        <v>0</v>
      </c>
      <c r="Z30" s="24">
        <f>IF(WarehouseTransactions3[[#This Row],[Transaction_Type]]="Outbound",WarehouseTransactions3[[#This Row],[Transaction_Value]],0)</f>
        <v>992000</v>
      </c>
    </row>
    <row r="31" spans="1:26" x14ac:dyDescent="0.3">
      <c r="A31" s="9" t="s">
        <v>89</v>
      </c>
      <c r="B31" s="10">
        <v>46072</v>
      </c>
      <c r="C31" s="9" t="s">
        <v>77</v>
      </c>
      <c r="D31" s="11" t="s">
        <v>78</v>
      </c>
      <c r="E31" s="9" t="s">
        <v>30</v>
      </c>
      <c r="F31" s="9" t="s">
        <v>17</v>
      </c>
      <c r="G31" s="12">
        <v>99</v>
      </c>
      <c r="H31" s="11" t="s">
        <v>32</v>
      </c>
      <c r="I31" s="9" t="s">
        <v>67</v>
      </c>
      <c r="J31" s="12">
        <v>36500</v>
      </c>
      <c r="K31" s="12">
        <v>3</v>
      </c>
      <c r="L31" s="13">
        <v>5.6</v>
      </c>
      <c r="M31" s="9" t="s">
        <v>20</v>
      </c>
      <c r="N31" s="22">
        <f>DATE(YEAR(WarehouseTransactions3[[#This Row],[Date]]),MONTH(WarehouseTransactions3[[#This Row],[Date]]),1)</f>
        <v>46054</v>
      </c>
      <c r="O31" s="24">
        <f>WarehouseTransactions3[[#This Row],[Quantity]]*WarehouseTransactions3[[#This Row],[Unit_Cost]]</f>
        <v>3613500</v>
      </c>
      <c r="P31" s="25">
        <f>WarehouseTransactions3[[#This Row],[Quantity]]-WarehouseTransactions3[[#This Row],[Damaged_Qty]]</f>
        <v>96</v>
      </c>
      <c r="Q31">
        <f>IF(WarehouseTransactions3[[#This Row],[Transaction_Type]]="Inbound",WarehouseTransactions3[[#This Row],[Quantity]],-WarehouseTransactions3[[#This Row],[Quantity]])</f>
        <v>99</v>
      </c>
      <c r="R31" s="26">
        <f>IFERROR(WarehouseTransactions3[[#This Row],[Damaged_Qty]]/WarehouseTransactions3[[#This Row],[Quantity]],0)</f>
        <v>3.0303030303030304E-2</v>
      </c>
      <c r="S31">
        <f>IF(WarehouseTransactions3[[#This Row],[Status]]="Delayed",1,0)</f>
        <v>0</v>
      </c>
      <c r="T31">
        <f>IF(WarehouseTransactions3[[#This Row],[Status]]="Pending",1,0)</f>
        <v>0</v>
      </c>
      <c r="U31" s="20">
        <f>IF(WarehouseTransactions3[[#This Row],[Processing_Time_Hours]]&gt;8,1,0)</f>
        <v>0</v>
      </c>
      <c r="V31" s="27">
        <f>WarehouseTransactions3[[#This Row],[Processing_Time_Hours]]/24</f>
        <v>0.23333333333333331</v>
      </c>
      <c r="W31" s="20">
        <f>IF(WarehouseTransactions3[[#This Row],[Transaction_Type]]="Inbound",WarehouseTransactions3[[#This Row],[Quantity]],0)</f>
        <v>99</v>
      </c>
      <c r="X31" s="20">
        <f>IF(WarehouseTransactions3[[#This Row],[Transaction_Type]]="Outbound",WarehouseTransactions3[[#This Row],[Quantity]],0)</f>
        <v>0</v>
      </c>
      <c r="Y31" s="24">
        <f>IF(WarehouseTransactions3[[#This Row],[Transaction_Type]]="Inbound",WarehouseTransactions3[[#This Row],[Transaction_Value]],0)</f>
        <v>3613500</v>
      </c>
      <c r="Z31" s="24">
        <f>IF(WarehouseTransactions3[[#This Row],[Transaction_Type]]="Outbound",WarehouseTransactions3[[#This Row],[Transaction_Value]],0)</f>
        <v>0</v>
      </c>
    </row>
    <row r="32" spans="1:26" x14ac:dyDescent="0.3">
      <c r="A32" s="9" t="s">
        <v>90</v>
      </c>
      <c r="B32" s="10">
        <v>46074</v>
      </c>
      <c r="C32" s="9" t="s">
        <v>41</v>
      </c>
      <c r="D32" s="11" t="s">
        <v>42</v>
      </c>
      <c r="E32" s="9" t="s">
        <v>16</v>
      </c>
      <c r="F32" s="9" t="s">
        <v>31</v>
      </c>
      <c r="G32" s="12">
        <v>53</v>
      </c>
      <c r="H32" s="11" t="s">
        <v>18</v>
      </c>
      <c r="I32" s="9" t="s">
        <v>19</v>
      </c>
      <c r="J32" s="12">
        <v>54500</v>
      </c>
      <c r="K32" s="12">
        <v>0</v>
      </c>
      <c r="L32" s="13">
        <v>3.5</v>
      </c>
      <c r="M32" s="9" t="s">
        <v>20</v>
      </c>
      <c r="N32" s="22">
        <f>DATE(YEAR(WarehouseTransactions3[[#This Row],[Date]]),MONTH(WarehouseTransactions3[[#This Row],[Date]]),1)</f>
        <v>46054</v>
      </c>
      <c r="O32" s="24">
        <f>WarehouseTransactions3[[#This Row],[Quantity]]*WarehouseTransactions3[[#This Row],[Unit_Cost]]</f>
        <v>2888500</v>
      </c>
      <c r="P32" s="25">
        <f>WarehouseTransactions3[[#This Row],[Quantity]]-WarehouseTransactions3[[#This Row],[Damaged_Qty]]</f>
        <v>53</v>
      </c>
      <c r="Q32">
        <f>IF(WarehouseTransactions3[[#This Row],[Transaction_Type]]="Inbound",WarehouseTransactions3[[#This Row],[Quantity]],-WarehouseTransactions3[[#This Row],[Quantity]])</f>
        <v>-53</v>
      </c>
      <c r="R32" s="26">
        <f>IFERROR(WarehouseTransactions3[[#This Row],[Damaged_Qty]]/WarehouseTransactions3[[#This Row],[Quantity]],0)</f>
        <v>0</v>
      </c>
      <c r="S32">
        <f>IF(WarehouseTransactions3[[#This Row],[Status]]="Delayed",1,0)</f>
        <v>0</v>
      </c>
      <c r="T32">
        <f>IF(WarehouseTransactions3[[#This Row],[Status]]="Pending",1,0)</f>
        <v>0</v>
      </c>
      <c r="U32" s="20">
        <f>IF(WarehouseTransactions3[[#This Row],[Processing_Time_Hours]]&gt;8,1,0)</f>
        <v>0</v>
      </c>
      <c r="V32" s="27">
        <f>WarehouseTransactions3[[#This Row],[Processing_Time_Hours]]/24</f>
        <v>0.14583333333333334</v>
      </c>
      <c r="W32" s="20">
        <f>IF(WarehouseTransactions3[[#This Row],[Transaction_Type]]="Inbound",WarehouseTransactions3[[#This Row],[Quantity]],0)</f>
        <v>0</v>
      </c>
      <c r="X32" s="20">
        <f>IF(WarehouseTransactions3[[#This Row],[Transaction_Type]]="Outbound",WarehouseTransactions3[[#This Row],[Quantity]],0)</f>
        <v>53</v>
      </c>
      <c r="Y32" s="24">
        <f>IF(WarehouseTransactions3[[#This Row],[Transaction_Type]]="Inbound",WarehouseTransactions3[[#This Row],[Transaction_Value]],0)</f>
        <v>0</v>
      </c>
      <c r="Z32" s="24">
        <f>IF(WarehouseTransactions3[[#This Row],[Transaction_Type]]="Outbound",WarehouseTransactions3[[#This Row],[Transaction_Value]],0)</f>
        <v>2888500</v>
      </c>
    </row>
    <row r="33" spans="1:26" x14ac:dyDescent="0.3">
      <c r="A33" s="9" t="s">
        <v>91</v>
      </c>
      <c r="B33" s="10">
        <v>46075</v>
      </c>
      <c r="C33" s="9" t="s">
        <v>72</v>
      </c>
      <c r="D33" s="11" t="s">
        <v>73</v>
      </c>
      <c r="E33" s="9" t="s">
        <v>47</v>
      </c>
      <c r="F33" s="9" t="s">
        <v>31</v>
      </c>
      <c r="G33" s="12">
        <v>56</v>
      </c>
      <c r="H33" s="11" t="s">
        <v>48</v>
      </c>
      <c r="I33" s="9" t="s">
        <v>74</v>
      </c>
      <c r="J33" s="12">
        <v>3100</v>
      </c>
      <c r="K33" s="12">
        <v>0</v>
      </c>
      <c r="L33" s="13">
        <v>6.3</v>
      </c>
      <c r="M33" s="9" t="s">
        <v>20</v>
      </c>
      <c r="N33" s="22">
        <f>DATE(YEAR(WarehouseTransactions3[[#This Row],[Date]]),MONTH(WarehouseTransactions3[[#This Row],[Date]]),1)</f>
        <v>46054</v>
      </c>
      <c r="O33" s="24">
        <f>WarehouseTransactions3[[#This Row],[Quantity]]*WarehouseTransactions3[[#This Row],[Unit_Cost]]</f>
        <v>173600</v>
      </c>
      <c r="P33" s="25">
        <f>WarehouseTransactions3[[#This Row],[Quantity]]-WarehouseTransactions3[[#This Row],[Damaged_Qty]]</f>
        <v>56</v>
      </c>
      <c r="Q33">
        <f>IF(WarehouseTransactions3[[#This Row],[Transaction_Type]]="Inbound",WarehouseTransactions3[[#This Row],[Quantity]],-WarehouseTransactions3[[#This Row],[Quantity]])</f>
        <v>-56</v>
      </c>
      <c r="R33" s="26">
        <f>IFERROR(WarehouseTransactions3[[#This Row],[Damaged_Qty]]/WarehouseTransactions3[[#This Row],[Quantity]],0)</f>
        <v>0</v>
      </c>
      <c r="S33">
        <f>IF(WarehouseTransactions3[[#This Row],[Status]]="Delayed",1,0)</f>
        <v>0</v>
      </c>
      <c r="T33">
        <f>IF(WarehouseTransactions3[[#This Row],[Status]]="Pending",1,0)</f>
        <v>0</v>
      </c>
      <c r="U33" s="20">
        <f>IF(WarehouseTransactions3[[#This Row],[Processing_Time_Hours]]&gt;8,1,0)</f>
        <v>0</v>
      </c>
      <c r="V33" s="27">
        <f>WarehouseTransactions3[[#This Row],[Processing_Time_Hours]]/24</f>
        <v>0.26250000000000001</v>
      </c>
      <c r="W33" s="20">
        <f>IF(WarehouseTransactions3[[#This Row],[Transaction_Type]]="Inbound",WarehouseTransactions3[[#This Row],[Quantity]],0)</f>
        <v>0</v>
      </c>
      <c r="X33" s="20">
        <f>IF(WarehouseTransactions3[[#This Row],[Transaction_Type]]="Outbound",WarehouseTransactions3[[#This Row],[Quantity]],0)</f>
        <v>56</v>
      </c>
      <c r="Y33" s="24">
        <f>IF(WarehouseTransactions3[[#This Row],[Transaction_Type]]="Inbound",WarehouseTransactions3[[#This Row],[Transaction_Value]],0)</f>
        <v>0</v>
      </c>
      <c r="Z33" s="24">
        <f>IF(WarehouseTransactions3[[#This Row],[Transaction_Type]]="Outbound",WarehouseTransactions3[[#This Row],[Transaction_Value]],0)</f>
        <v>173600</v>
      </c>
    </row>
    <row r="34" spans="1:26" x14ac:dyDescent="0.3">
      <c r="A34" s="9" t="s">
        <v>92</v>
      </c>
      <c r="B34" s="10">
        <v>46076</v>
      </c>
      <c r="C34" s="9" t="s">
        <v>93</v>
      </c>
      <c r="D34" s="11" t="s">
        <v>94</v>
      </c>
      <c r="E34" s="9" t="s">
        <v>47</v>
      </c>
      <c r="F34" s="9" t="s">
        <v>17</v>
      </c>
      <c r="G34" s="12">
        <v>72</v>
      </c>
      <c r="H34" s="11" t="s">
        <v>48</v>
      </c>
      <c r="I34" s="9" t="s">
        <v>49</v>
      </c>
      <c r="J34" s="12">
        <v>14500</v>
      </c>
      <c r="K34" s="12">
        <v>0</v>
      </c>
      <c r="L34" s="13">
        <v>9.6999999999999993</v>
      </c>
      <c r="M34" s="9" t="s">
        <v>43</v>
      </c>
      <c r="N34" s="22">
        <f>DATE(YEAR(WarehouseTransactions3[[#This Row],[Date]]),MONTH(WarehouseTransactions3[[#This Row],[Date]]),1)</f>
        <v>46054</v>
      </c>
      <c r="O34" s="24">
        <f>WarehouseTransactions3[[#This Row],[Quantity]]*WarehouseTransactions3[[#This Row],[Unit_Cost]]</f>
        <v>1044000</v>
      </c>
      <c r="P34" s="25">
        <f>WarehouseTransactions3[[#This Row],[Quantity]]-WarehouseTransactions3[[#This Row],[Damaged_Qty]]</f>
        <v>72</v>
      </c>
      <c r="Q34">
        <f>IF(WarehouseTransactions3[[#This Row],[Transaction_Type]]="Inbound",WarehouseTransactions3[[#This Row],[Quantity]],-WarehouseTransactions3[[#This Row],[Quantity]])</f>
        <v>72</v>
      </c>
      <c r="R34" s="26">
        <f>IFERROR(WarehouseTransactions3[[#This Row],[Damaged_Qty]]/WarehouseTransactions3[[#This Row],[Quantity]],0)</f>
        <v>0</v>
      </c>
      <c r="S34">
        <f>IF(WarehouseTransactions3[[#This Row],[Status]]="Delayed",1,0)</f>
        <v>0</v>
      </c>
      <c r="T34">
        <f>IF(WarehouseTransactions3[[#This Row],[Status]]="Pending",1,0)</f>
        <v>1</v>
      </c>
      <c r="U34" s="20">
        <f>IF(WarehouseTransactions3[[#This Row],[Processing_Time_Hours]]&gt;8,1,0)</f>
        <v>1</v>
      </c>
      <c r="V34" s="27">
        <f>WarehouseTransactions3[[#This Row],[Processing_Time_Hours]]/24</f>
        <v>0.40416666666666662</v>
      </c>
      <c r="W34" s="20">
        <f>IF(WarehouseTransactions3[[#This Row],[Transaction_Type]]="Inbound",WarehouseTransactions3[[#This Row],[Quantity]],0)</f>
        <v>72</v>
      </c>
      <c r="X34" s="20">
        <f>IF(WarehouseTransactions3[[#This Row],[Transaction_Type]]="Outbound",WarehouseTransactions3[[#This Row],[Quantity]],0)</f>
        <v>0</v>
      </c>
      <c r="Y34" s="24">
        <f>IF(WarehouseTransactions3[[#This Row],[Transaction_Type]]="Inbound",WarehouseTransactions3[[#This Row],[Transaction_Value]],0)</f>
        <v>1044000</v>
      </c>
      <c r="Z34" s="24">
        <f>IF(WarehouseTransactions3[[#This Row],[Transaction_Type]]="Outbound",WarehouseTransactions3[[#This Row],[Transaction_Value]],0)</f>
        <v>0</v>
      </c>
    </row>
    <row r="35" spans="1:26" x14ac:dyDescent="0.3">
      <c r="A35" s="9" t="s">
        <v>95</v>
      </c>
      <c r="B35" s="10">
        <v>46079</v>
      </c>
      <c r="C35" s="9" t="s">
        <v>69</v>
      </c>
      <c r="D35" s="11" t="s">
        <v>70</v>
      </c>
      <c r="E35" s="9" t="s">
        <v>16</v>
      </c>
      <c r="F35" s="9" t="s">
        <v>17</v>
      </c>
      <c r="G35" s="12">
        <v>99</v>
      </c>
      <c r="H35" s="11" t="s">
        <v>18</v>
      </c>
      <c r="I35" s="9" t="s">
        <v>67</v>
      </c>
      <c r="J35" s="12">
        <v>7800</v>
      </c>
      <c r="K35" s="12">
        <v>0</v>
      </c>
      <c r="L35" s="13">
        <v>4.5</v>
      </c>
      <c r="M35" s="9" t="s">
        <v>20</v>
      </c>
      <c r="N35" s="22">
        <f>DATE(YEAR(WarehouseTransactions3[[#This Row],[Date]]),MONTH(WarehouseTransactions3[[#This Row],[Date]]),1)</f>
        <v>46054</v>
      </c>
      <c r="O35" s="24">
        <f>WarehouseTransactions3[[#This Row],[Quantity]]*WarehouseTransactions3[[#This Row],[Unit_Cost]]</f>
        <v>772200</v>
      </c>
      <c r="P35" s="25">
        <f>WarehouseTransactions3[[#This Row],[Quantity]]-WarehouseTransactions3[[#This Row],[Damaged_Qty]]</f>
        <v>99</v>
      </c>
      <c r="Q35">
        <f>IF(WarehouseTransactions3[[#This Row],[Transaction_Type]]="Inbound",WarehouseTransactions3[[#This Row],[Quantity]],-WarehouseTransactions3[[#This Row],[Quantity]])</f>
        <v>99</v>
      </c>
      <c r="R35" s="26">
        <f>IFERROR(WarehouseTransactions3[[#This Row],[Damaged_Qty]]/WarehouseTransactions3[[#This Row],[Quantity]],0)</f>
        <v>0</v>
      </c>
      <c r="S35">
        <f>IF(WarehouseTransactions3[[#This Row],[Status]]="Delayed",1,0)</f>
        <v>0</v>
      </c>
      <c r="T35">
        <f>IF(WarehouseTransactions3[[#This Row],[Status]]="Pending",1,0)</f>
        <v>0</v>
      </c>
      <c r="U35" s="20">
        <f>IF(WarehouseTransactions3[[#This Row],[Processing_Time_Hours]]&gt;8,1,0)</f>
        <v>0</v>
      </c>
      <c r="V35" s="27">
        <f>WarehouseTransactions3[[#This Row],[Processing_Time_Hours]]/24</f>
        <v>0.1875</v>
      </c>
      <c r="W35" s="20">
        <f>IF(WarehouseTransactions3[[#This Row],[Transaction_Type]]="Inbound",WarehouseTransactions3[[#This Row],[Quantity]],0)</f>
        <v>99</v>
      </c>
      <c r="X35" s="20">
        <f>IF(WarehouseTransactions3[[#This Row],[Transaction_Type]]="Outbound",WarehouseTransactions3[[#This Row],[Quantity]],0)</f>
        <v>0</v>
      </c>
      <c r="Y35" s="24">
        <f>IF(WarehouseTransactions3[[#This Row],[Transaction_Type]]="Inbound",WarehouseTransactions3[[#This Row],[Transaction_Value]],0)</f>
        <v>772200</v>
      </c>
      <c r="Z35" s="24">
        <f>IF(WarehouseTransactions3[[#This Row],[Transaction_Type]]="Outbound",WarehouseTransactions3[[#This Row],[Transaction_Value]],0)</f>
        <v>0</v>
      </c>
    </row>
    <row r="36" spans="1:26" x14ac:dyDescent="0.3">
      <c r="A36" s="9" t="s">
        <v>96</v>
      </c>
      <c r="B36" s="10">
        <v>46084</v>
      </c>
      <c r="C36" s="9" t="s">
        <v>72</v>
      </c>
      <c r="D36" s="11" t="s">
        <v>73</v>
      </c>
      <c r="E36" s="9" t="s">
        <v>47</v>
      </c>
      <c r="F36" s="9" t="s">
        <v>17</v>
      </c>
      <c r="G36" s="12">
        <v>33</v>
      </c>
      <c r="H36" s="11" t="s">
        <v>48</v>
      </c>
      <c r="I36" s="9" t="s">
        <v>74</v>
      </c>
      <c r="J36" s="12">
        <v>3100</v>
      </c>
      <c r="K36" s="12">
        <v>0</v>
      </c>
      <c r="L36" s="13">
        <v>2.2000000000000002</v>
      </c>
      <c r="M36" s="9" t="s">
        <v>20</v>
      </c>
      <c r="N36" s="22">
        <f>DATE(YEAR(WarehouseTransactions3[[#This Row],[Date]]),MONTH(WarehouseTransactions3[[#This Row],[Date]]),1)</f>
        <v>46082</v>
      </c>
      <c r="O36" s="24">
        <f>WarehouseTransactions3[[#This Row],[Quantity]]*WarehouseTransactions3[[#This Row],[Unit_Cost]]</f>
        <v>102300</v>
      </c>
      <c r="P36" s="25">
        <f>WarehouseTransactions3[[#This Row],[Quantity]]-WarehouseTransactions3[[#This Row],[Damaged_Qty]]</f>
        <v>33</v>
      </c>
      <c r="Q36">
        <f>IF(WarehouseTransactions3[[#This Row],[Transaction_Type]]="Inbound",WarehouseTransactions3[[#This Row],[Quantity]],-WarehouseTransactions3[[#This Row],[Quantity]])</f>
        <v>33</v>
      </c>
      <c r="R36" s="26">
        <f>IFERROR(WarehouseTransactions3[[#This Row],[Damaged_Qty]]/WarehouseTransactions3[[#This Row],[Quantity]],0)</f>
        <v>0</v>
      </c>
      <c r="S36">
        <f>IF(WarehouseTransactions3[[#This Row],[Status]]="Delayed",1,0)</f>
        <v>0</v>
      </c>
      <c r="T36">
        <f>IF(WarehouseTransactions3[[#This Row],[Status]]="Pending",1,0)</f>
        <v>0</v>
      </c>
      <c r="U36" s="20">
        <f>IF(WarehouseTransactions3[[#This Row],[Processing_Time_Hours]]&gt;8,1,0)</f>
        <v>0</v>
      </c>
      <c r="V36" s="27">
        <f>WarehouseTransactions3[[#This Row],[Processing_Time_Hours]]/24</f>
        <v>9.1666666666666674E-2</v>
      </c>
      <c r="W36" s="20">
        <f>IF(WarehouseTransactions3[[#This Row],[Transaction_Type]]="Inbound",WarehouseTransactions3[[#This Row],[Quantity]],0)</f>
        <v>33</v>
      </c>
      <c r="X36" s="20">
        <f>IF(WarehouseTransactions3[[#This Row],[Transaction_Type]]="Outbound",WarehouseTransactions3[[#This Row],[Quantity]],0)</f>
        <v>0</v>
      </c>
      <c r="Y36" s="24">
        <f>IF(WarehouseTransactions3[[#This Row],[Transaction_Type]]="Inbound",WarehouseTransactions3[[#This Row],[Transaction_Value]],0)</f>
        <v>102300</v>
      </c>
      <c r="Z36" s="24">
        <f>IF(WarehouseTransactions3[[#This Row],[Transaction_Type]]="Outbound",WarehouseTransactions3[[#This Row],[Transaction_Value]],0)</f>
        <v>0</v>
      </c>
    </row>
    <row r="37" spans="1:26" x14ac:dyDescent="0.3">
      <c r="A37" s="9" t="s">
        <v>97</v>
      </c>
      <c r="B37" s="10">
        <v>46084</v>
      </c>
      <c r="C37" s="9" t="s">
        <v>56</v>
      </c>
      <c r="D37" s="11" t="s">
        <v>57</v>
      </c>
      <c r="E37" s="9" t="s">
        <v>24</v>
      </c>
      <c r="F37" s="9" t="s">
        <v>31</v>
      </c>
      <c r="G37" s="12">
        <v>92</v>
      </c>
      <c r="H37" s="11" t="s">
        <v>25</v>
      </c>
      <c r="I37" s="9" t="s">
        <v>58</v>
      </c>
      <c r="J37" s="12">
        <v>3200</v>
      </c>
      <c r="K37" s="12">
        <v>0</v>
      </c>
      <c r="L37" s="13">
        <v>6.3</v>
      </c>
      <c r="M37" s="9" t="s">
        <v>20</v>
      </c>
      <c r="N37" s="22">
        <f>DATE(YEAR(WarehouseTransactions3[[#This Row],[Date]]),MONTH(WarehouseTransactions3[[#This Row],[Date]]),1)</f>
        <v>46082</v>
      </c>
      <c r="O37" s="24">
        <f>WarehouseTransactions3[[#This Row],[Quantity]]*WarehouseTransactions3[[#This Row],[Unit_Cost]]</f>
        <v>294400</v>
      </c>
      <c r="P37" s="25">
        <f>WarehouseTransactions3[[#This Row],[Quantity]]-WarehouseTransactions3[[#This Row],[Damaged_Qty]]</f>
        <v>92</v>
      </c>
      <c r="Q37">
        <f>IF(WarehouseTransactions3[[#This Row],[Transaction_Type]]="Inbound",WarehouseTransactions3[[#This Row],[Quantity]],-WarehouseTransactions3[[#This Row],[Quantity]])</f>
        <v>-92</v>
      </c>
      <c r="R37" s="26">
        <f>IFERROR(WarehouseTransactions3[[#This Row],[Damaged_Qty]]/WarehouseTransactions3[[#This Row],[Quantity]],0)</f>
        <v>0</v>
      </c>
      <c r="S37">
        <f>IF(WarehouseTransactions3[[#This Row],[Status]]="Delayed",1,0)</f>
        <v>0</v>
      </c>
      <c r="T37">
        <f>IF(WarehouseTransactions3[[#This Row],[Status]]="Pending",1,0)</f>
        <v>0</v>
      </c>
      <c r="U37" s="20">
        <f>IF(WarehouseTransactions3[[#This Row],[Processing_Time_Hours]]&gt;8,1,0)</f>
        <v>0</v>
      </c>
      <c r="V37" s="27">
        <f>WarehouseTransactions3[[#This Row],[Processing_Time_Hours]]/24</f>
        <v>0.26250000000000001</v>
      </c>
      <c r="W37" s="20">
        <f>IF(WarehouseTransactions3[[#This Row],[Transaction_Type]]="Inbound",WarehouseTransactions3[[#This Row],[Quantity]],0)</f>
        <v>0</v>
      </c>
      <c r="X37" s="20">
        <f>IF(WarehouseTransactions3[[#This Row],[Transaction_Type]]="Outbound",WarehouseTransactions3[[#This Row],[Quantity]],0)</f>
        <v>92</v>
      </c>
      <c r="Y37" s="24">
        <f>IF(WarehouseTransactions3[[#This Row],[Transaction_Type]]="Inbound",WarehouseTransactions3[[#This Row],[Transaction_Value]],0)</f>
        <v>0</v>
      </c>
      <c r="Z37" s="24">
        <f>IF(WarehouseTransactions3[[#This Row],[Transaction_Type]]="Outbound",WarehouseTransactions3[[#This Row],[Transaction_Value]],0)</f>
        <v>294400</v>
      </c>
    </row>
    <row r="38" spans="1:26" x14ac:dyDescent="0.3">
      <c r="A38" s="9" t="s">
        <v>98</v>
      </c>
      <c r="B38" s="10">
        <v>46085</v>
      </c>
      <c r="C38" s="9" t="s">
        <v>41</v>
      </c>
      <c r="D38" s="11" t="s">
        <v>42</v>
      </c>
      <c r="E38" s="9" t="s">
        <v>16</v>
      </c>
      <c r="F38" s="9" t="s">
        <v>17</v>
      </c>
      <c r="G38" s="12">
        <v>92</v>
      </c>
      <c r="H38" s="11" t="s">
        <v>18</v>
      </c>
      <c r="I38" s="9" t="s">
        <v>19</v>
      </c>
      <c r="J38" s="12">
        <v>54500</v>
      </c>
      <c r="K38" s="12">
        <v>0</v>
      </c>
      <c r="L38" s="13">
        <v>1.8</v>
      </c>
      <c r="M38" s="9" t="s">
        <v>20</v>
      </c>
      <c r="N38" s="22">
        <f>DATE(YEAR(WarehouseTransactions3[[#This Row],[Date]]),MONTH(WarehouseTransactions3[[#This Row],[Date]]),1)</f>
        <v>46082</v>
      </c>
      <c r="O38" s="24">
        <f>WarehouseTransactions3[[#This Row],[Quantity]]*WarehouseTransactions3[[#This Row],[Unit_Cost]]</f>
        <v>5014000</v>
      </c>
      <c r="P38" s="25">
        <f>WarehouseTransactions3[[#This Row],[Quantity]]-WarehouseTransactions3[[#This Row],[Damaged_Qty]]</f>
        <v>92</v>
      </c>
      <c r="Q38">
        <f>IF(WarehouseTransactions3[[#This Row],[Transaction_Type]]="Inbound",WarehouseTransactions3[[#This Row],[Quantity]],-WarehouseTransactions3[[#This Row],[Quantity]])</f>
        <v>92</v>
      </c>
      <c r="R38" s="26">
        <f>IFERROR(WarehouseTransactions3[[#This Row],[Damaged_Qty]]/WarehouseTransactions3[[#This Row],[Quantity]],0)</f>
        <v>0</v>
      </c>
      <c r="S38">
        <f>IF(WarehouseTransactions3[[#This Row],[Status]]="Delayed",1,0)</f>
        <v>0</v>
      </c>
      <c r="T38">
        <f>IF(WarehouseTransactions3[[#This Row],[Status]]="Pending",1,0)</f>
        <v>0</v>
      </c>
      <c r="U38" s="20">
        <f>IF(WarehouseTransactions3[[#This Row],[Processing_Time_Hours]]&gt;8,1,0)</f>
        <v>0</v>
      </c>
      <c r="V38" s="27">
        <f>WarehouseTransactions3[[#This Row],[Processing_Time_Hours]]/24</f>
        <v>7.4999999999999997E-2</v>
      </c>
      <c r="W38" s="20">
        <f>IF(WarehouseTransactions3[[#This Row],[Transaction_Type]]="Inbound",WarehouseTransactions3[[#This Row],[Quantity]],0)</f>
        <v>92</v>
      </c>
      <c r="X38" s="20">
        <f>IF(WarehouseTransactions3[[#This Row],[Transaction_Type]]="Outbound",WarehouseTransactions3[[#This Row],[Quantity]],0)</f>
        <v>0</v>
      </c>
      <c r="Y38" s="24">
        <f>IF(WarehouseTransactions3[[#This Row],[Transaction_Type]]="Inbound",WarehouseTransactions3[[#This Row],[Transaction_Value]],0)</f>
        <v>5014000</v>
      </c>
      <c r="Z38" s="24">
        <f>IF(WarehouseTransactions3[[#This Row],[Transaction_Type]]="Outbound",WarehouseTransactions3[[#This Row],[Transaction_Value]],0)</f>
        <v>0</v>
      </c>
    </row>
    <row r="39" spans="1:26" x14ac:dyDescent="0.3">
      <c r="A39" s="9" t="s">
        <v>99</v>
      </c>
      <c r="B39" s="10">
        <v>46087</v>
      </c>
      <c r="C39" s="9" t="s">
        <v>100</v>
      </c>
      <c r="D39" s="11" t="s">
        <v>101</v>
      </c>
      <c r="E39" s="9" t="s">
        <v>30</v>
      </c>
      <c r="F39" s="9" t="s">
        <v>17</v>
      </c>
      <c r="G39" s="12">
        <v>36</v>
      </c>
      <c r="H39" s="11" t="s">
        <v>32</v>
      </c>
      <c r="I39" s="9" t="s">
        <v>67</v>
      </c>
      <c r="J39" s="12">
        <v>23800</v>
      </c>
      <c r="K39" s="12">
        <v>0</v>
      </c>
      <c r="L39" s="13">
        <v>3.9</v>
      </c>
      <c r="M39" s="9" t="s">
        <v>20</v>
      </c>
      <c r="N39" s="22">
        <f>DATE(YEAR(WarehouseTransactions3[[#This Row],[Date]]),MONTH(WarehouseTransactions3[[#This Row],[Date]]),1)</f>
        <v>46082</v>
      </c>
      <c r="O39" s="24">
        <f>WarehouseTransactions3[[#This Row],[Quantity]]*WarehouseTransactions3[[#This Row],[Unit_Cost]]</f>
        <v>856800</v>
      </c>
      <c r="P39" s="25">
        <f>WarehouseTransactions3[[#This Row],[Quantity]]-WarehouseTransactions3[[#This Row],[Damaged_Qty]]</f>
        <v>36</v>
      </c>
      <c r="Q39">
        <f>IF(WarehouseTransactions3[[#This Row],[Transaction_Type]]="Inbound",WarehouseTransactions3[[#This Row],[Quantity]],-WarehouseTransactions3[[#This Row],[Quantity]])</f>
        <v>36</v>
      </c>
      <c r="R39" s="26">
        <f>IFERROR(WarehouseTransactions3[[#This Row],[Damaged_Qty]]/WarehouseTransactions3[[#This Row],[Quantity]],0)</f>
        <v>0</v>
      </c>
      <c r="S39">
        <f>IF(WarehouseTransactions3[[#This Row],[Status]]="Delayed",1,0)</f>
        <v>0</v>
      </c>
      <c r="T39">
        <f>IF(WarehouseTransactions3[[#This Row],[Status]]="Pending",1,0)</f>
        <v>0</v>
      </c>
      <c r="U39" s="20">
        <f>IF(WarehouseTransactions3[[#This Row],[Processing_Time_Hours]]&gt;8,1,0)</f>
        <v>0</v>
      </c>
      <c r="V39" s="27">
        <f>WarehouseTransactions3[[#This Row],[Processing_Time_Hours]]/24</f>
        <v>0.16250000000000001</v>
      </c>
      <c r="W39" s="20">
        <f>IF(WarehouseTransactions3[[#This Row],[Transaction_Type]]="Inbound",WarehouseTransactions3[[#This Row],[Quantity]],0)</f>
        <v>36</v>
      </c>
      <c r="X39" s="20">
        <f>IF(WarehouseTransactions3[[#This Row],[Transaction_Type]]="Outbound",WarehouseTransactions3[[#This Row],[Quantity]],0)</f>
        <v>0</v>
      </c>
      <c r="Y39" s="24">
        <f>IF(WarehouseTransactions3[[#This Row],[Transaction_Type]]="Inbound",WarehouseTransactions3[[#This Row],[Transaction_Value]],0)</f>
        <v>856800</v>
      </c>
      <c r="Z39" s="24">
        <f>IF(WarehouseTransactions3[[#This Row],[Transaction_Type]]="Outbound",WarehouseTransactions3[[#This Row],[Transaction_Value]],0)</f>
        <v>0</v>
      </c>
    </row>
    <row r="40" spans="1:26" x14ac:dyDescent="0.3">
      <c r="A40" s="9" t="s">
        <v>102</v>
      </c>
      <c r="B40" s="10">
        <v>46088</v>
      </c>
      <c r="C40" s="9" t="s">
        <v>45</v>
      </c>
      <c r="D40" s="11" t="s">
        <v>46</v>
      </c>
      <c r="E40" s="9" t="s">
        <v>47</v>
      </c>
      <c r="F40" s="9" t="s">
        <v>17</v>
      </c>
      <c r="G40" s="12">
        <v>18</v>
      </c>
      <c r="H40" s="11" t="s">
        <v>48</v>
      </c>
      <c r="I40" s="9" t="s">
        <v>49</v>
      </c>
      <c r="J40" s="12">
        <v>17200</v>
      </c>
      <c r="K40" s="12">
        <v>0</v>
      </c>
      <c r="L40" s="13">
        <v>6.3</v>
      </c>
      <c r="M40" s="9" t="s">
        <v>20</v>
      </c>
      <c r="N40" s="22">
        <f>DATE(YEAR(WarehouseTransactions3[[#This Row],[Date]]),MONTH(WarehouseTransactions3[[#This Row],[Date]]),1)</f>
        <v>46082</v>
      </c>
      <c r="O40" s="24">
        <f>WarehouseTransactions3[[#This Row],[Quantity]]*WarehouseTransactions3[[#This Row],[Unit_Cost]]</f>
        <v>309600</v>
      </c>
      <c r="P40" s="25">
        <f>WarehouseTransactions3[[#This Row],[Quantity]]-WarehouseTransactions3[[#This Row],[Damaged_Qty]]</f>
        <v>18</v>
      </c>
      <c r="Q40">
        <f>IF(WarehouseTransactions3[[#This Row],[Transaction_Type]]="Inbound",WarehouseTransactions3[[#This Row],[Quantity]],-WarehouseTransactions3[[#This Row],[Quantity]])</f>
        <v>18</v>
      </c>
      <c r="R40" s="26">
        <f>IFERROR(WarehouseTransactions3[[#This Row],[Damaged_Qty]]/WarehouseTransactions3[[#This Row],[Quantity]],0)</f>
        <v>0</v>
      </c>
      <c r="S40">
        <f>IF(WarehouseTransactions3[[#This Row],[Status]]="Delayed",1,0)</f>
        <v>0</v>
      </c>
      <c r="T40">
        <f>IF(WarehouseTransactions3[[#This Row],[Status]]="Pending",1,0)</f>
        <v>0</v>
      </c>
      <c r="U40" s="20">
        <f>IF(WarehouseTransactions3[[#This Row],[Processing_Time_Hours]]&gt;8,1,0)</f>
        <v>0</v>
      </c>
      <c r="V40" s="27">
        <f>WarehouseTransactions3[[#This Row],[Processing_Time_Hours]]/24</f>
        <v>0.26250000000000001</v>
      </c>
      <c r="W40" s="20">
        <f>IF(WarehouseTransactions3[[#This Row],[Transaction_Type]]="Inbound",WarehouseTransactions3[[#This Row],[Quantity]],0)</f>
        <v>18</v>
      </c>
      <c r="X40" s="20">
        <f>IF(WarehouseTransactions3[[#This Row],[Transaction_Type]]="Outbound",WarehouseTransactions3[[#This Row],[Quantity]],0)</f>
        <v>0</v>
      </c>
      <c r="Y40" s="24">
        <f>IF(WarehouseTransactions3[[#This Row],[Transaction_Type]]="Inbound",WarehouseTransactions3[[#This Row],[Transaction_Value]],0)</f>
        <v>309600</v>
      </c>
      <c r="Z40" s="24">
        <f>IF(WarehouseTransactions3[[#This Row],[Transaction_Type]]="Outbound",WarehouseTransactions3[[#This Row],[Transaction_Value]],0)</f>
        <v>0</v>
      </c>
    </row>
    <row r="41" spans="1:26" x14ac:dyDescent="0.3">
      <c r="A41" s="9" t="s">
        <v>103</v>
      </c>
      <c r="B41" s="10">
        <v>46090</v>
      </c>
      <c r="C41" s="9" t="s">
        <v>100</v>
      </c>
      <c r="D41" s="11" t="s">
        <v>101</v>
      </c>
      <c r="E41" s="9" t="s">
        <v>30</v>
      </c>
      <c r="F41" s="9" t="s">
        <v>31</v>
      </c>
      <c r="G41" s="12">
        <v>88</v>
      </c>
      <c r="H41" s="11" t="s">
        <v>32</v>
      </c>
      <c r="I41" s="9" t="s">
        <v>67</v>
      </c>
      <c r="J41" s="12">
        <v>23800</v>
      </c>
      <c r="K41" s="12">
        <v>5</v>
      </c>
      <c r="L41" s="13">
        <v>6.2</v>
      </c>
      <c r="M41" s="9" t="s">
        <v>43</v>
      </c>
      <c r="N41" s="22">
        <f>DATE(YEAR(WarehouseTransactions3[[#This Row],[Date]]),MONTH(WarehouseTransactions3[[#This Row],[Date]]),1)</f>
        <v>46082</v>
      </c>
      <c r="O41" s="24">
        <f>WarehouseTransactions3[[#This Row],[Quantity]]*WarehouseTransactions3[[#This Row],[Unit_Cost]]</f>
        <v>2094400</v>
      </c>
      <c r="P41" s="25">
        <f>WarehouseTransactions3[[#This Row],[Quantity]]-WarehouseTransactions3[[#This Row],[Damaged_Qty]]</f>
        <v>83</v>
      </c>
      <c r="Q41">
        <f>IF(WarehouseTransactions3[[#This Row],[Transaction_Type]]="Inbound",WarehouseTransactions3[[#This Row],[Quantity]],-WarehouseTransactions3[[#This Row],[Quantity]])</f>
        <v>-88</v>
      </c>
      <c r="R41" s="26">
        <f>IFERROR(WarehouseTransactions3[[#This Row],[Damaged_Qty]]/WarehouseTransactions3[[#This Row],[Quantity]],0)</f>
        <v>5.6818181818181816E-2</v>
      </c>
      <c r="S41">
        <f>IF(WarehouseTransactions3[[#This Row],[Status]]="Delayed",1,0)</f>
        <v>0</v>
      </c>
      <c r="T41">
        <f>IF(WarehouseTransactions3[[#This Row],[Status]]="Pending",1,0)</f>
        <v>1</v>
      </c>
      <c r="U41" s="20">
        <f>IF(WarehouseTransactions3[[#This Row],[Processing_Time_Hours]]&gt;8,1,0)</f>
        <v>0</v>
      </c>
      <c r="V41" s="27">
        <f>WarehouseTransactions3[[#This Row],[Processing_Time_Hours]]/24</f>
        <v>0.25833333333333336</v>
      </c>
      <c r="W41" s="20">
        <f>IF(WarehouseTransactions3[[#This Row],[Transaction_Type]]="Inbound",WarehouseTransactions3[[#This Row],[Quantity]],0)</f>
        <v>0</v>
      </c>
      <c r="X41" s="20">
        <f>IF(WarehouseTransactions3[[#This Row],[Transaction_Type]]="Outbound",WarehouseTransactions3[[#This Row],[Quantity]],0)</f>
        <v>88</v>
      </c>
      <c r="Y41" s="24">
        <f>IF(WarehouseTransactions3[[#This Row],[Transaction_Type]]="Inbound",WarehouseTransactions3[[#This Row],[Transaction_Value]],0)</f>
        <v>0</v>
      </c>
      <c r="Z41" s="24">
        <f>IF(WarehouseTransactions3[[#This Row],[Transaction_Type]]="Outbound",WarehouseTransactions3[[#This Row],[Transaction_Value]],0)</f>
        <v>2094400</v>
      </c>
    </row>
    <row r="42" spans="1:26" x14ac:dyDescent="0.3">
      <c r="A42" s="9" t="s">
        <v>104</v>
      </c>
      <c r="B42" s="10">
        <v>46095</v>
      </c>
      <c r="C42" s="9" t="s">
        <v>77</v>
      </c>
      <c r="D42" s="11" t="s">
        <v>78</v>
      </c>
      <c r="E42" s="9" t="s">
        <v>30</v>
      </c>
      <c r="F42" s="9" t="s">
        <v>17</v>
      </c>
      <c r="G42" s="12">
        <v>56</v>
      </c>
      <c r="H42" s="11" t="s">
        <v>32</v>
      </c>
      <c r="I42" s="9" t="s">
        <v>67</v>
      </c>
      <c r="J42" s="12">
        <v>36500</v>
      </c>
      <c r="K42" s="12">
        <v>0</v>
      </c>
      <c r="L42" s="13">
        <v>2.7</v>
      </c>
      <c r="M42" s="9" t="s">
        <v>20</v>
      </c>
      <c r="N42" s="22">
        <f>DATE(YEAR(WarehouseTransactions3[[#This Row],[Date]]),MONTH(WarehouseTransactions3[[#This Row],[Date]]),1)</f>
        <v>46082</v>
      </c>
      <c r="O42" s="24">
        <f>WarehouseTransactions3[[#This Row],[Quantity]]*WarehouseTransactions3[[#This Row],[Unit_Cost]]</f>
        <v>2044000</v>
      </c>
      <c r="P42" s="25">
        <f>WarehouseTransactions3[[#This Row],[Quantity]]-WarehouseTransactions3[[#This Row],[Damaged_Qty]]</f>
        <v>56</v>
      </c>
      <c r="Q42">
        <f>IF(WarehouseTransactions3[[#This Row],[Transaction_Type]]="Inbound",WarehouseTransactions3[[#This Row],[Quantity]],-WarehouseTransactions3[[#This Row],[Quantity]])</f>
        <v>56</v>
      </c>
      <c r="R42" s="26">
        <f>IFERROR(WarehouseTransactions3[[#This Row],[Damaged_Qty]]/WarehouseTransactions3[[#This Row],[Quantity]],0)</f>
        <v>0</v>
      </c>
      <c r="S42">
        <f>IF(WarehouseTransactions3[[#This Row],[Status]]="Delayed",1,0)</f>
        <v>0</v>
      </c>
      <c r="T42">
        <f>IF(WarehouseTransactions3[[#This Row],[Status]]="Pending",1,0)</f>
        <v>0</v>
      </c>
      <c r="U42" s="20">
        <f>IF(WarehouseTransactions3[[#This Row],[Processing_Time_Hours]]&gt;8,1,0)</f>
        <v>0</v>
      </c>
      <c r="V42" s="27">
        <f>WarehouseTransactions3[[#This Row],[Processing_Time_Hours]]/24</f>
        <v>0.1125</v>
      </c>
      <c r="W42" s="20">
        <f>IF(WarehouseTransactions3[[#This Row],[Transaction_Type]]="Inbound",WarehouseTransactions3[[#This Row],[Quantity]],0)</f>
        <v>56</v>
      </c>
      <c r="X42" s="20">
        <f>IF(WarehouseTransactions3[[#This Row],[Transaction_Type]]="Outbound",WarehouseTransactions3[[#This Row],[Quantity]],0)</f>
        <v>0</v>
      </c>
      <c r="Y42" s="24">
        <f>IF(WarehouseTransactions3[[#This Row],[Transaction_Type]]="Inbound",WarehouseTransactions3[[#This Row],[Transaction_Value]],0)</f>
        <v>2044000</v>
      </c>
      <c r="Z42" s="24">
        <f>IF(WarehouseTransactions3[[#This Row],[Transaction_Type]]="Outbound",WarehouseTransactions3[[#This Row],[Transaction_Value]],0)</f>
        <v>0</v>
      </c>
    </row>
    <row r="43" spans="1:26" x14ac:dyDescent="0.3">
      <c r="A43" s="9" t="s">
        <v>105</v>
      </c>
      <c r="B43" s="10">
        <v>46095</v>
      </c>
      <c r="C43" s="9" t="s">
        <v>41</v>
      </c>
      <c r="D43" s="11" t="s">
        <v>42</v>
      </c>
      <c r="E43" s="9" t="s">
        <v>16</v>
      </c>
      <c r="F43" s="9" t="s">
        <v>31</v>
      </c>
      <c r="G43" s="12">
        <v>13</v>
      </c>
      <c r="H43" s="11" t="s">
        <v>18</v>
      </c>
      <c r="I43" s="9" t="s">
        <v>19</v>
      </c>
      <c r="J43" s="12">
        <v>54500</v>
      </c>
      <c r="K43" s="12">
        <v>0</v>
      </c>
      <c r="L43" s="13">
        <v>5.2</v>
      </c>
      <c r="M43" s="9" t="s">
        <v>20</v>
      </c>
      <c r="N43" s="22">
        <f>DATE(YEAR(WarehouseTransactions3[[#This Row],[Date]]),MONTH(WarehouseTransactions3[[#This Row],[Date]]),1)</f>
        <v>46082</v>
      </c>
      <c r="O43" s="24">
        <f>WarehouseTransactions3[[#This Row],[Quantity]]*WarehouseTransactions3[[#This Row],[Unit_Cost]]</f>
        <v>708500</v>
      </c>
      <c r="P43" s="25">
        <f>WarehouseTransactions3[[#This Row],[Quantity]]-WarehouseTransactions3[[#This Row],[Damaged_Qty]]</f>
        <v>13</v>
      </c>
      <c r="Q43">
        <f>IF(WarehouseTransactions3[[#This Row],[Transaction_Type]]="Inbound",WarehouseTransactions3[[#This Row],[Quantity]],-WarehouseTransactions3[[#This Row],[Quantity]])</f>
        <v>-13</v>
      </c>
      <c r="R43" s="26">
        <f>IFERROR(WarehouseTransactions3[[#This Row],[Damaged_Qty]]/WarehouseTransactions3[[#This Row],[Quantity]],0)</f>
        <v>0</v>
      </c>
      <c r="S43">
        <f>IF(WarehouseTransactions3[[#This Row],[Status]]="Delayed",1,0)</f>
        <v>0</v>
      </c>
      <c r="T43">
        <f>IF(WarehouseTransactions3[[#This Row],[Status]]="Pending",1,0)</f>
        <v>0</v>
      </c>
      <c r="U43" s="20">
        <f>IF(WarehouseTransactions3[[#This Row],[Processing_Time_Hours]]&gt;8,1,0)</f>
        <v>0</v>
      </c>
      <c r="V43" s="27">
        <f>WarehouseTransactions3[[#This Row],[Processing_Time_Hours]]/24</f>
        <v>0.21666666666666667</v>
      </c>
      <c r="W43" s="20">
        <f>IF(WarehouseTransactions3[[#This Row],[Transaction_Type]]="Inbound",WarehouseTransactions3[[#This Row],[Quantity]],0)</f>
        <v>0</v>
      </c>
      <c r="X43" s="20">
        <f>IF(WarehouseTransactions3[[#This Row],[Transaction_Type]]="Outbound",WarehouseTransactions3[[#This Row],[Quantity]],0)</f>
        <v>13</v>
      </c>
      <c r="Y43" s="24">
        <f>IF(WarehouseTransactions3[[#This Row],[Transaction_Type]]="Inbound",WarehouseTransactions3[[#This Row],[Transaction_Value]],0)</f>
        <v>0</v>
      </c>
      <c r="Z43" s="24">
        <f>IF(WarehouseTransactions3[[#This Row],[Transaction_Type]]="Outbound",WarehouseTransactions3[[#This Row],[Transaction_Value]],0)</f>
        <v>708500</v>
      </c>
    </row>
    <row r="44" spans="1:26" x14ac:dyDescent="0.3">
      <c r="A44" s="9" t="s">
        <v>106</v>
      </c>
      <c r="B44" s="10">
        <v>46096</v>
      </c>
      <c r="C44" s="9" t="s">
        <v>77</v>
      </c>
      <c r="D44" s="11" t="s">
        <v>78</v>
      </c>
      <c r="E44" s="9" t="s">
        <v>30</v>
      </c>
      <c r="F44" s="9" t="s">
        <v>31</v>
      </c>
      <c r="G44" s="12">
        <v>81</v>
      </c>
      <c r="H44" s="11" t="s">
        <v>32</v>
      </c>
      <c r="I44" s="9" t="s">
        <v>67</v>
      </c>
      <c r="J44" s="12">
        <v>36500</v>
      </c>
      <c r="K44" s="12">
        <v>5</v>
      </c>
      <c r="L44" s="13">
        <v>6.7</v>
      </c>
      <c r="M44" s="9" t="s">
        <v>43</v>
      </c>
      <c r="N44" s="22">
        <f>DATE(YEAR(WarehouseTransactions3[[#This Row],[Date]]),MONTH(WarehouseTransactions3[[#This Row],[Date]]),1)</f>
        <v>46082</v>
      </c>
      <c r="O44" s="24">
        <f>WarehouseTransactions3[[#This Row],[Quantity]]*WarehouseTransactions3[[#This Row],[Unit_Cost]]</f>
        <v>2956500</v>
      </c>
      <c r="P44" s="25">
        <f>WarehouseTransactions3[[#This Row],[Quantity]]-WarehouseTransactions3[[#This Row],[Damaged_Qty]]</f>
        <v>76</v>
      </c>
      <c r="Q44">
        <f>IF(WarehouseTransactions3[[#This Row],[Transaction_Type]]="Inbound",WarehouseTransactions3[[#This Row],[Quantity]],-WarehouseTransactions3[[#This Row],[Quantity]])</f>
        <v>-81</v>
      </c>
      <c r="R44" s="26">
        <f>IFERROR(WarehouseTransactions3[[#This Row],[Damaged_Qty]]/WarehouseTransactions3[[#This Row],[Quantity]],0)</f>
        <v>6.1728395061728392E-2</v>
      </c>
      <c r="S44">
        <f>IF(WarehouseTransactions3[[#This Row],[Status]]="Delayed",1,0)</f>
        <v>0</v>
      </c>
      <c r="T44">
        <f>IF(WarehouseTransactions3[[#This Row],[Status]]="Pending",1,0)</f>
        <v>1</v>
      </c>
      <c r="U44" s="20">
        <f>IF(WarehouseTransactions3[[#This Row],[Processing_Time_Hours]]&gt;8,1,0)</f>
        <v>0</v>
      </c>
      <c r="V44" s="27">
        <f>WarehouseTransactions3[[#This Row],[Processing_Time_Hours]]/24</f>
        <v>0.27916666666666667</v>
      </c>
      <c r="W44" s="20">
        <f>IF(WarehouseTransactions3[[#This Row],[Transaction_Type]]="Inbound",WarehouseTransactions3[[#This Row],[Quantity]],0)</f>
        <v>0</v>
      </c>
      <c r="X44" s="20">
        <f>IF(WarehouseTransactions3[[#This Row],[Transaction_Type]]="Outbound",WarehouseTransactions3[[#This Row],[Quantity]],0)</f>
        <v>81</v>
      </c>
      <c r="Y44" s="24">
        <f>IF(WarehouseTransactions3[[#This Row],[Transaction_Type]]="Inbound",WarehouseTransactions3[[#This Row],[Transaction_Value]],0)</f>
        <v>0</v>
      </c>
      <c r="Z44" s="24">
        <f>IF(WarehouseTransactions3[[#This Row],[Transaction_Type]]="Outbound",WarehouseTransactions3[[#This Row],[Transaction_Value]],0)</f>
        <v>2956500</v>
      </c>
    </row>
    <row r="45" spans="1:26" x14ac:dyDescent="0.3">
      <c r="A45" s="9" t="s">
        <v>107</v>
      </c>
      <c r="B45" s="10">
        <v>46096</v>
      </c>
      <c r="C45" s="9" t="s">
        <v>108</v>
      </c>
      <c r="D45" s="11" t="s">
        <v>109</v>
      </c>
      <c r="E45" s="9" t="s">
        <v>36</v>
      </c>
      <c r="F45" s="9" t="s">
        <v>31</v>
      </c>
      <c r="G45" s="12">
        <v>26</v>
      </c>
      <c r="H45" s="11" t="s">
        <v>37</v>
      </c>
      <c r="I45" s="9" t="s">
        <v>38</v>
      </c>
      <c r="J45" s="12">
        <v>28500</v>
      </c>
      <c r="K45" s="12">
        <v>0</v>
      </c>
      <c r="L45" s="13">
        <v>10.7</v>
      </c>
      <c r="M45" s="9" t="s">
        <v>43</v>
      </c>
      <c r="N45" s="22">
        <f>DATE(YEAR(WarehouseTransactions3[[#This Row],[Date]]),MONTH(WarehouseTransactions3[[#This Row],[Date]]),1)</f>
        <v>46082</v>
      </c>
      <c r="O45" s="24">
        <f>WarehouseTransactions3[[#This Row],[Quantity]]*WarehouseTransactions3[[#This Row],[Unit_Cost]]</f>
        <v>741000</v>
      </c>
      <c r="P45" s="25">
        <f>WarehouseTransactions3[[#This Row],[Quantity]]-WarehouseTransactions3[[#This Row],[Damaged_Qty]]</f>
        <v>26</v>
      </c>
      <c r="Q45">
        <f>IF(WarehouseTransactions3[[#This Row],[Transaction_Type]]="Inbound",WarehouseTransactions3[[#This Row],[Quantity]],-WarehouseTransactions3[[#This Row],[Quantity]])</f>
        <v>-26</v>
      </c>
      <c r="R45" s="26">
        <f>IFERROR(WarehouseTransactions3[[#This Row],[Damaged_Qty]]/WarehouseTransactions3[[#This Row],[Quantity]],0)</f>
        <v>0</v>
      </c>
      <c r="S45">
        <f>IF(WarehouseTransactions3[[#This Row],[Status]]="Delayed",1,0)</f>
        <v>0</v>
      </c>
      <c r="T45">
        <f>IF(WarehouseTransactions3[[#This Row],[Status]]="Pending",1,0)</f>
        <v>1</v>
      </c>
      <c r="U45" s="20">
        <f>IF(WarehouseTransactions3[[#This Row],[Processing_Time_Hours]]&gt;8,1,0)</f>
        <v>1</v>
      </c>
      <c r="V45" s="27">
        <f>WarehouseTransactions3[[#This Row],[Processing_Time_Hours]]/24</f>
        <v>0.4458333333333333</v>
      </c>
      <c r="W45" s="20">
        <f>IF(WarehouseTransactions3[[#This Row],[Transaction_Type]]="Inbound",WarehouseTransactions3[[#This Row],[Quantity]],0)</f>
        <v>0</v>
      </c>
      <c r="X45" s="20">
        <f>IF(WarehouseTransactions3[[#This Row],[Transaction_Type]]="Outbound",WarehouseTransactions3[[#This Row],[Quantity]],0)</f>
        <v>26</v>
      </c>
      <c r="Y45" s="24">
        <f>IF(WarehouseTransactions3[[#This Row],[Transaction_Type]]="Inbound",WarehouseTransactions3[[#This Row],[Transaction_Value]],0)</f>
        <v>0</v>
      </c>
      <c r="Z45" s="24">
        <f>IF(WarehouseTransactions3[[#This Row],[Transaction_Type]]="Outbound",WarehouseTransactions3[[#This Row],[Transaction_Value]],0)</f>
        <v>741000</v>
      </c>
    </row>
    <row r="46" spans="1:26" x14ac:dyDescent="0.3">
      <c r="A46" s="9" t="s">
        <v>110</v>
      </c>
      <c r="B46" s="10">
        <v>46097</v>
      </c>
      <c r="C46" s="9" t="s">
        <v>100</v>
      </c>
      <c r="D46" s="11" t="s">
        <v>101</v>
      </c>
      <c r="E46" s="9" t="s">
        <v>30</v>
      </c>
      <c r="F46" s="9" t="s">
        <v>31</v>
      </c>
      <c r="G46" s="12">
        <v>82</v>
      </c>
      <c r="H46" s="11" t="s">
        <v>32</v>
      </c>
      <c r="I46" s="9" t="s">
        <v>67</v>
      </c>
      <c r="J46" s="12">
        <v>23800</v>
      </c>
      <c r="K46" s="12">
        <v>0</v>
      </c>
      <c r="L46" s="13">
        <v>2.2000000000000002</v>
      </c>
      <c r="M46" s="9" t="s">
        <v>20</v>
      </c>
      <c r="N46" s="22">
        <f>DATE(YEAR(WarehouseTransactions3[[#This Row],[Date]]),MONTH(WarehouseTransactions3[[#This Row],[Date]]),1)</f>
        <v>46082</v>
      </c>
      <c r="O46" s="24">
        <f>WarehouseTransactions3[[#This Row],[Quantity]]*WarehouseTransactions3[[#This Row],[Unit_Cost]]</f>
        <v>1951600</v>
      </c>
      <c r="P46" s="25">
        <f>WarehouseTransactions3[[#This Row],[Quantity]]-WarehouseTransactions3[[#This Row],[Damaged_Qty]]</f>
        <v>82</v>
      </c>
      <c r="Q46">
        <f>IF(WarehouseTransactions3[[#This Row],[Transaction_Type]]="Inbound",WarehouseTransactions3[[#This Row],[Quantity]],-WarehouseTransactions3[[#This Row],[Quantity]])</f>
        <v>-82</v>
      </c>
      <c r="R46" s="26">
        <f>IFERROR(WarehouseTransactions3[[#This Row],[Damaged_Qty]]/WarehouseTransactions3[[#This Row],[Quantity]],0)</f>
        <v>0</v>
      </c>
      <c r="S46">
        <f>IF(WarehouseTransactions3[[#This Row],[Status]]="Delayed",1,0)</f>
        <v>0</v>
      </c>
      <c r="T46">
        <f>IF(WarehouseTransactions3[[#This Row],[Status]]="Pending",1,0)</f>
        <v>0</v>
      </c>
      <c r="U46" s="20">
        <f>IF(WarehouseTransactions3[[#This Row],[Processing_Time_Hours]]&gt;8,1,0)</f>
        <v>0</v>
      </c>
      <c r="V46" s="27">
        <f>WarehouseTransactions3[[#This Row],[Processing_Time_Hours]]/24</f>
        <v>9.1666666666666674E-2</v>
      </c>
      <c r="W46" s="20">
        <f>IF(WarehouseTransactions3[[#This Row],[Transaction_Type]]="Inbound",WarehouseTransactions3[[#This Row],[Quantity]],0)</f>
        <v>0</v>
      </c>
      <c r="X46" s="20">
        <f>IF(WarehouseTransactions3[[#This Row],[Transaction_Type]]="Outbound",WarehouseTransactions3[[#This Row],[Quantity]],0)</f>
        <v>82</v>
      </c>
      <c r="Y46" s="24">
        <f>IF(WarehouseTransactions3[[#This Row],[Transaction_Type]]="Inbound",WarehouseTransactions3[[#This Row],[Transaction_Value]],0)</f>
        <v>0</v>
      </c>
      <c r="Z46" s="24">
        <f>IF(WarehouseTransactions3[[#This Row],[Transaction_Type]]="Outbound",WarehouseTransactions3[[#This Row],[Transaction_Value]],0)</f>
        <v>1951600</v>
      </c>
    </row>
    <row r="47" spans="1:26" x14ac:dyDescent="0.3">
      <c r="A47" s="9" t="s">
        <v>111</v>
      </c>
      <c r="B47" s="10">
        <v>46101</v>
      </c>
      <c r="C47" s="9" t="s">
        <v>65</v>
      </c>
      <c r="D47" s="11" t="s">
        <v>66</v>
      </c>
      <c r="E47" s="9" t="s">
        <v>16</v>
      </c>
      <c r="F47" s="9" t="s">
        <v>31</v>
      </c>
      <c r="G47" s="12">
        <v>97</v>
      </c>
      <c r="H47" s="11" t="s">
        <v>18</v>
      </c>
      <c r="I47" s="9" t="s">
        <v>67</v>
      </c>
      <c r="J47" s="12">
        <v>12400</v>
      </c>
      <c r="K47" s="12">
        <v>0</v>
      </c>
      <c r="L47" s="13">
        <v>5.8</v>
      </c>
      <c r="M47" s="9" t="s">
        <v>20</v>
      </c>
      <c r="N47" s="22">
        <f>DATE(YEAR(WarehouseTransactions3[[#This Row],[Date]]),MONTH(WarehouseTransactions3[[#This Row],[Date]]),1)</f>
        <v>46082</v>
      </c>
      <c r="O47" s="24">
        <f>WarehouseTransactions3[[#This Row],[Quantity]]*WarehouseTransactions3[[#This Row],[Unit_Cost]]</f>
        <v>1202800</v>
      </c>
      <c r="P47" s="25">
        <f>WarehouseTransactions3[[#This Row],[Quantity]]-WarehouseTransactions3[[#This Row],[Damaged_Qty]]</f>
        <v>97</v>
      </c>
      <c r="Q47">
        <f>IF(WarehouseTransactions3[[#This Row],[Transaction_Type]]="Inbound",WarehouseTransactions3[[#This Row],[Quantity]],-WarehouseTransactions3[[#This Row],[Quantity]])</f>
        <v>-97</v>
      </c>
      <c r="R47" s="26">
        <f>IFERROR(WarehouseTransactions3[[#This Row],[Damaged_Qty]]/WarehouseTransactions3[[#This Row],[Quantity]],0)</f>
        <v>0</v>
      </c>
      <c r="S47">
        <f>IF(WarehouseTransactions3[[#This Row],[Status]]="Delayed",1,0)</f>
        <v>0</v>
      </c>
      <c r="T47">
        <f>IF(WarehouseTransactions3[[#This Row],[Status]]="Pending",1,0)</f>
        <v>0</v>
      </c>
      <c r="U47" s="20">
        <f>IF(WarehouseTransactions3[[#This Row],[Processing_Time_Hours]]&gt;8,1,0)</f>
        <v>0</v>
      </c>
      <c r="V47" s="27">
        <f>WarehouseTransactions3[[#This Row],[Processing_Time_Hours]]/24</f>
        <v>0.24166666666666667</v>
      </c>
      <c r="W47" s="20">
        <f>IF(WarehouseTransactions3[[#This Row],[Transaction_Type]]="Inbound",WarehouseTransactions3[[#This Row],[Quantity]],0)</f>
        <v>0</v>
      </c>
      <c r="X47" s="20">
        <f>IF(WarehouseTransactions3[[#This Row],[Transaction_Type]]="Outbound",WarehouseTransactions3[[#This Row],[Quantity]],0)</f>
        <v>97</v>
      </c>
      <c r="Y47" s="24">
        <f>IF(WarehouseTransactions3[[#This Row],[Transaction_Type]]="Inbound",WarehouseTransactions3[[#This Row],[Transaction_Value]],0)</f>
        <v>0</v>
      </c>
      <c r="Z47" s="24">
        <f>IF(WarehouseTransactions3[[#This Row],[Transaction_Type]]="Outbound",WarehouseTransactions3[[#This Row],[Transaction_Value]],0)</f>
        <v>1202800</v>
      </c>
    </row>
    <row r="48" spans="1:26" x14ac:dyDescent="0.3">
      <c r="A48" s="9" t="s">
        <v>112</v>
      </c>
      <c r="B48" s="10">
        <v>46102</v>
      </c>
      <c r="C48" s="9" t="s">
        <v>100</v>
      </c>
      <c r="D48" s="11" t="s">
        <v>101</v>
      </c>
      <c r="E48" s="9" t="s">
        <v>30</v>
      </c>
      <c r="F48" s="9" t="s">
        <v>17</v>
      </c>
      <c r="G48" s="12">
        <v>52</v>
      </c>
      <c r="H48" s="11" t="s">
        <v>32</v>
      </c>
      <c r="I48" s="9" t="s">
        <v>67</v>
      </c>
      <c r="J48" s="12">
        <v>23800</v>
      </c>
      <c r="K48" s="12">
        <v>0</v>
      </c>
      <c r="L48" s="13">
        <v>5.2</v>
      </c>
      <c r="M48" s="9" t="s">
        <v>20</v>
      </c>
      <c r="N48" s="22">
        <f>DATE(YEAR(WarehouseTransactions3[[#This Row],[Date]]),MONTH(WarehouseTransactions3[[#This Row],[Date]]),1)</f>
        <v>46082</v>
      </c>
      <c r="O48" s="24">
        <f>WarehouseTransactions3[[#This Row],[Quantity]]*WarehouseTransactions3[[#This Row],[Unit_Cost]]</f>
        <v>1237600</v>
      </c>
      <c r="P48" s="25">
        <f>WarehouseTransactions3[[#This Row],[Quantity]]-WarehouseTransactions3[[#This Row],[Damaged_Qty]]</f>
        <v>52</v>
      </c>
      <c r="Q48">
        <f>IF(WarehouseTransactions3[[#This Row],[Transaction_Type]]="Inbound",WarehouseTransactions3[[#This Row],[Quantity]],-WarehouseTransactions3[[#This Row],[Quantity]])</f>
        <v>52</v>
      </c>
      <c r="R48" s="26">
        <f>IFERROR(WarehouseTransactions3[[#This Row],[Damaged_Qty]]/WarehouseTransactions3[[#This Row],[Quantity]],0)</f>
        <v>0</v>
      </c>
      <c r="S48">
        <f>IF(WarehouseTransactions3[[#This Row],[Status]]="Delayed",1,0)</f>
        <v>0</v>
      </c>
      <c r="T48">
        <f>IF(WarehouseTransactions3[[#This Row],[Status]]="Pending",1,0)</f>
        <v>0</v>
      </c>
      <c r="U48" s="20">
        <f>IF(WarehouseTransactions3[[#This Row],[Processing_Time_Hours]]&gt;8,1,0)</f>
        <v>0</v>
      </c>
      <c r="V48" s="27">
        <f>WarehouseTransactions3[[#This Row],[Processing_Time_Hours]]/24</f>
        <v>0.21666666666666667</v>
      </c>
      <c r="W48" s="20">
        <f>IF(WarehouseTransactions3[[#This Row],[Transaction_Type]]="Inbound",WarehouseTransactions3[[#This Row],[Quantity]],0)</f>
        <v>52</v>
      </c>
      <c r="X48" s="20">
        <f>IF(WarehouseTransactions3[[#This Row],[Transaction_Type]]="Outbound",WarehouseTransactions3[[#This Row],[Quantity]],0)</f>
        <v>0</v>
      </c>
      <c r="Y48" s="24">
        <f>IF(WarehouseTransactions3[[#This Row],[Transaction_Type]]="Inbound",WarehouseTransactions3[[#This Row],[Transaction_Value]],0)</f>
        <v>1237600</v>
      </c>
      <c r="Z48" s="24">
        <f>IF(WarehouseTransactions3[[#This Row],[Transaction_Type]]="Outbound",WarehouseTransactions3[[#This Row],[Transaction_Value]],0)</f>
        <v>0</v>
      </c>
    </row>
    <row r="49" spans="1:26" x14ac:dyDescent="0.3">
      <c r="A49" s="9" t="s">
        <v>113</v>
      </c>
      <c r="B49" s="10">
        <v>46105</v>
      </c>
      <c r="C49" s="9" t="s">
        <v>14</v>
      </c>
      <c r="D49" s="11" t="s">
        <v>15</v>
      </c>
      <c r="E49" s="9" t="s">
        <v>16</v>
      </c>
      <c r="F49" s="9" t="s">
        <v>17</v>
      </c>
      <c r="G49" s="12">
        <v>68</v>
      </c>
      <c r="H49" s="11" t="s">
        <v>18</v>
      </c>
      <c r="I49" s="9" t="s">
        <v>19</v>
      </c>
      <c r="J49" s="12">
        <v>6500</v>
      </c>
      <c r="K49" s="12">
        <v>1</v>
      </c>
      <c r="L49" s="13">
        <v>8.3000000000000007</v>
      </c>
      <c r="M49" s="9" t="s">
        <v>39</v>
      </c>
      <c r="N49" s="22">
        <f>DATE(YEAR(WarehouseTransactions3[[#This Row],[Date]]),MONTH(WarehouseTransactions3[[#This Row],[Date]]),1)</f>
        <v>46082</v>
      </c>
      <c r="O49" s="24">
        <f>WarehouseTransactions3[[#This Row],[Quantity]]*WarehouseTransactions3[[#This Row],[Unit_Cost]]</f>
        <v>442000</v>
      </c>
      <c r="P49" s="25">
        <f>WarehouseTransactions3[[#This Row],[Quantity]]-WarehouseTransactions3[[#This Row],[Damaged_Qty]]</f>
        <v>67</v>
      </c>
      <c r="Q49">
        <f>IF(WarehouseTransactions3[[#This Row],[Transaction_Type]]="Inbound",WarehouseTransactions3[[#This Row],[Quantity]],-WarehouseTransactions3[[#This Row],[Quantity]])</f>
        <v>68</v>
      </c>
      <c r="R49" s="26">
        <f>IFERROR(WarehouseTransactions3[[#This Row],[Damaged_Qty]]/WarehouseTransactions3[[#This Row],[Quantity]],0)</f>
        <v>1.4705882352941176E-2</v>
      </c>
      <c r="S49">
        <f>IF(WarehouseTransactions3[[#This Row],[Status]]="Delayed",1,0)</f>
        <v>1</v>
      </c>
      <c r="T49">
        <f>IF(WarehouseTransactions3[[#This Row],[Status]]="Pending",1,0)</f>
        <v>0</v>
      </c>
      <c r="U49" s="20">
        <f>IF(WarehouseTransactions3[[#This Row],[Processing_Time_Hours]]&gt;8,1,0)</f>
        <v>1</v>
      </c>
      <c r="V49" s="27">
        <f>WarehouseTransactions3[[#This Row],[Processing_Time_Hours]]/24</f>
        <v>0.34583333333333338</v>
      </c>
      <c r="W49" s="20">
        <f>IF(WarehouseTransactions3[[#This Row],[Transaction_Type]]="Inbound",WarehouseTransactions3[[#This Row],[Quantity]],0)</f>
        <v>68</v>
      </c>
      <c r="X49" s="20">
        <f>IF(WarehouseTransactions3[[#This Row],[Transaction_Type]]="Outbound",WarehouseTransactions3[[#This Row],[Quantity]],0)</f>
        <v>0</v>
      </c>
      <c r="Y49" s="24">
        <f>IF(WarehouseTransactions3[[#This Row],[Transaction_Type]]="Inbound",WarehouseTransactions3[[#This Row],[Transaction_Value]],0)</f>
        <v>442000</v>
      </c>
      <c r="Z49" s="24">
        <f>IF(WarehouseTransactions3[[#This Row],[Transaction_Type]]="Outbound",WarehouseTransactions3[[#This Row],[Transaction_Value]],0)</f>
        <v>0</v>
      </c>
    </row>
    <row r="50" spans="1:26" x14ac:dyDescent="0.3">
      <c r="A50" s="9" t="s">
        <v>114</v>
      </c>
      <c r="B50" s="10">
        <v>46106</v>
      </c>
      <c r="C50" s="9" t="s">
        <v>115</v>
      </c>
      <c r="D50" s="11" t="s">
        <v>116</v>
      </c>
      <c r="E50" s="9" t="s">
        <v>36</v>
      </c>
      <c r="F50" s="9" t="s">
        <v>31</v>
      </c>
      <c r="G50" s="12">
        <v>10</v>
      </c>
      <c r="H50" s="11" t="s">
        <v>37</v>
      </c>
      <c r="I50" s="9" t="s">
        <v>63</v>
      </c>
      <c r="J50" s="12">
        <v>16800</v>
      </c>
      <c r="K50" s="12">
        <v>0</v>
      </c>
      <c r="L50" s="13">
        <v>4.5999999999999996</v>
      </c>
      <c r="M50" s="9" t="s">
        <v>20</v>
      </c>
      <c r="N50" s="22">
        <f>DATE(YEAR(WarehouseTransactions3[[#This Row],[Date]]),MONTH(WarehouseTransactions3[[#This Row],[Date]]),1)</f>
        <v>46082</v>
      </c>
      <c r="O50" s="24">
        <f>WarehouseTransactions3[[#This Row],[Quantity]]*WarehouseTransactions3[[#This Row],[Unit_Cost]]</f>
        <v>168000</v>
      </c>
      <c r="P50" s="25">
        <f>WarehouseTransactions3[[#This Row],[Quantity]]-WarehouseTransactions3[[#This Row],[Damaged_Qty]]</f>
        <v>10</v>
      </c>
      <c r="Q50">
        <f>IF(WarehouseTransactions3[[#This Row],[Transaction_Type]]="Inbound",WarehouseTransactions3[[#This Row],[Quantity]],-WarehouseTransactions3[[#This Row],[Quantity]])</f>
        <v>-10</v>
      </c>
      <c r="R50" s="26">
        <f>IFERROR(WarehouseTransactions3[[#This Row],[Damaged_Qty]]/WarehouseTransactions3[[#This Row],[Quantity]],0)</f>
        <v>0</v>
      </c>
      <c r="S50">
        <f>IF(WarehouseTransactions3[[#This Row],[Status]]="Delayed",1,0)</f>
        <v>0</v>
      </c>
      <c r="T50">
        <f>IF(WarehouseTransactions3[[#This Row],[Status]]="Pending",1,0)</f>
        <v>0</v>
      </c>
      <c r="U50" s="20">
        <f>IF(WarehouseTransactions3[[#This Row],[Processing_Time_Hours]]&gt;8,1,0)</f>
        <v>0</v>
      </c>
      <c r="V50" s="27">
        <f>WarehouseTransactions3[[#This Row],[Processing_Time_Hours]]/24</f>
        <v>0.19166666666666665</v>
      </c>
      <c r="W50" s="20">
        <f>IF(WarehouseTransactions3[[#This Row],[Transaction_Type]]="Inbound",WarehouseTransactions3[[#This Row],[Quantity]],0)</f>
        <v>0</v>
      </c>
      <c r="X50" s="20">
        <f>IF(WarehouseTransactions3[[#This Row],[Transaction_Type]]="Outbound",WarehouseTransactions3[[#This Row],[Quantity]],0)</f>
        <v>10</v>
      </c>
      <c r="Y50" s="24">
        <f>IF(WarehouseTransactions3[[#This Row],[Transaction_Type]]="Inbound",WarehouseTransactions3[[#This Row],[Transaction_Value]],0)</f>
        <v>0</v>
      </c>
      <c r="Z50" s="24">
        <f>IF(WarehouseTransactions3[[#This Row],[Transaction_Type]]="Outbound",WarehouseTransactions3[[#This Row],[Transaction_Value]],0)</f>
        <v>168000</v>
      </c>
    </row>
    <row r="51" spans="1:26" x14ac:dyDescent="0.3">
      <c r="A51" s="9" t="s">
        <v>117</v>
      </c>
      <c r="B51" s="10">
        <v>46108</v>
      </c>
      <c r="C51" s="9" t="s">
        <v>108</v>
      </c>
      <c r="D51" s="11" t="s">
        <v>109</v>
      </c>
      <c r="E51" s="9" t="s">
        <v>36</v>
      </c>
      <c r="F51" s="9" t="s">
        <v>17</v>
      </c>
      <c r="G51" s="12">
        <v>79</v>
      </c>
      <c r="H51" s="11" t="s">
        <v>37</v>
      </c>
      <c r="I51" s="9" t="s">
        <v>38</v>
      </c>
      <c r="J51" s="12">
        <v>28500</v>
      </c>
      <c r="K51" s="12">
        <v>0</v>
      </c>
      <c r="L51" s="13">
        <v>12.9</v>
      </c>
      <c r="M51" s="9" t="s">
        <v>43</v>
      </c>
      <c r="N51" s="22">
        <f>DATE(YEAR(WarehouseTransactions3[[#This Row],[Date]]),MONTH(WarehouseTransactions3[[#This Row],[Date]]),1)</f>
        <v>46082</v>
      </c>
      <c r="O51" s="24">
        <f>WarehouseTransactions3[[#This Row],[Quantity]]*WarehouseTransactions3[[#This Row],[Unit_Cost]]</f>
        <v>2251500</v>
      </c>
      <c r="P51" s="25">
        <f>WarehouseTransactions3[[#This Row],[Quantity]]-WarehouseTransactions3[[#This Row],[Damaged_Qty]]</f>
        <v>79</v>
      </c>
      <c r="Q51">
        <f>IF(WarehouseTransactions3[[#This Row],[Transaction_Type]]="Inbound",WarehouseTransactions3[[#This Row],[Quantity]],-WarehouseTransactions3[[#This Row],[Quantity]])</f>
        <v>79</v>
      </c>
      <c r="R51" s="26">
        <f>IFERROR(WarehouseTransactions3[[#This Row],[Damaged_Qty]]/WarehouseTransactions3[[#This Row],[Quantity]],0)</f>
        <v>0</v>
      </c>
      <c r="S51">
        <f>IF(WarehouseTransactions3[[#This Row],[Status]]="Delayed",1,0)</f>
        <v>0</v>
      </c>
      <c r="T51">
        <f>IF(WarehouseTransactions3[[#This Row],[Status]]="Pending",1,0)</f>
        <v>1</v>
      </c>
      <c r="U51" s="20">
        <f>IF(WarehouseTransactions3[[#This Row],[Processing_Time_Hours]]&gt;8,1,0)</f>
        <v>1</v>
      </c>
      <c r="V51" s="27">
        <f>WarehouseTransactions3[[#This Row],[Processing_Time_Hours]]/24</f>
        <v>0.53749999999999998</v>
      </c>
      <c r="W51" s="20">
        <f>IF(WarehouseTransactions3[[#This Row],[Transaction_Type]]="Inbound",WarehouseTransactions3[[#This Row],[Quantity]],0)</f>
        <v>79</v>
      </c>
      <c r="X51" s="20">
        <f>IF(WarehouseTransactions3[[#This Row],[Transaction_Type]]="Outbound",WarehouseTransactions3[[#This Row],[Quantity]],0)</f>
        <v>0</v>
      </c>
      <c r="Y51" s="24">
        <f>IF(WarehouseTransactions3[[#This Row],[Transaction_Type]]="Inbound",WarehouseTransactions3[[#This Row],[Transaction_Value]],0)</f>
        <v>2251500</v>
      </c>
      <c r="Z51" s="24">
        <f>IF(WarehouseTransactions3[[#This Row],[Transaction_Type]]="Outbound",WarehouseTransactions3[[#This Row],[Transaction_Value]],0)</f>
        <v>0</v>
      </c>
    </row>
    <row r="52" spans="1:26" x14ac:dyDescent="0.3">
      <c r="A52" s="9" t="s">
        <v>118</v>
      </c>
      <c r="B52" s="10">
        <v>46114</v>
      </c>
      <c r="C52" s="9" t="s">
        <v>108</v>
      </c>
      <c r="D52" s="11" t="s">
        <v>109</v>
      </c>
      <c r="E52" s="9" t="s">
        <v>36</v>
      </c>
      <c r="F52" s="9" t="s">
        <v>31</v>
      </c>
      <c r="G52" s="12">
        <v>72</v>
      </c>
      <c r="H52" s="11" t="s">
        <v>37</v>
      </c>
      <c r="I52" s="9" t="s">
        <v>38</v>
      </c>
      <c r="J52" s="12">
        <v>28500</v>
      </c>
      <c r="K52" s="12">
        <v>4</v>
      </c>
      <c r="L52" s="13">
        <v>10.1</v>
      </c>
      <c r="M52" s="9" t="s">
        <v>39</v>
      </c>
      <c r="N52" s="22">
        <f>DATE(YEAR(WarehouseTransactions3[[#This Row],[Date]]),MONTH(WarehouseTransactions3[[#This Row],[Date]]),1)</f>
        <v>46113</v>
      </c>
      <c r="O52" s="24">
        <f>WarehouseTransactions3[[#This Row],[Quantity]]*WarehouseTransactions3[[#This Row],[Unit_Cost]]</f>
        <v>2052000</v>
      </c>
      <c r="P52" s="25">
        <f>WarehouseTransactions3[[#This Row],[Quantity]]-WarehouseTransactions3[[#This Row],[Damaged_Qty]]</f>
        <v>68</v>
      </c>
      <c r="Q52">
        <f>IF(WarehouseTransactions3[[#This Row],[Transaction_Type]]="Inbound",WarehouseTransactions3[[#This Row],[Quantity]],-WarehouseTransactions3[[#This Row],[Quantity]])</f>
        <v>-72</v>
      </c>
      <c r="R52" s="26">
        <f>IFERROR(WarehouseTransactions3[[#This Row],[Damaged_Qty]]/WarehouseTransactions3[[#This Row],[Quantity]],0)</f>
        <v>5.5555555555555552E-2</v>
      </c>
      <c r="S52">
        <f>IF(WarehouseTransactions3[[#This Row],[Status]]="Delayed",1,0)</f>
        <v>1</v>
      </c>
      <c r="T52">
        <f>IF(WarehouseTransactions3[[#This Row],[Status]]="Pending",1,0)</f>
        <v>0</v>
      </c>
      <c r="U52" s="20">
        <f>IF(WarehouseTransactions3[[#This Row],[Processing_Time_Hours]]&gt;8,1,0)</f>
        <v>1</v>
      </c>
      <c r="V52" s="27">
        <f>WarehouseTransactions3[[#This Row],[Processing_Time_Hours]]/24</f>
        <v>0.42083333333333334</v>
      </c>
      <c r="W52" s="20">
        <f>IF(WarehouseTransactions3[[#This Row],[Transaction_Type]]="Inbound",WarehouseTransactions3[[#This Row],[Quantity]],0)</f>
        <v>0</v>
      </c>
      <c r="X52" s="20">
        <f>IF(WarehouseTransactions3[[#This Row],[Transaction_Type]]="Outbound",WarehouseTransactions3[[#This Row],[Quantity]],0)</f>
        <v>72</v>
      </c>
      <c r="Y52" s="24">
        <f>IF(WarehouseTransactions3[[#This Row],[Transaction_Type]]="Inbound",WarehouseTransactions3[[#This Row],[Transaction_Value]],0)</f>
        <v>0</v>
      </c>
      <c r="Z52" s="24">
        <f>IF(WarehouseTransactions3[[#This Row],[Transaction_Type]]="Outbound",WarehouseTransactions3[[#This Row],[Transaction_Value]],0)</f>
        <v>2052000</v>
      </c>
    </row>
    <row r="53" spans="1:26" x14ac:dyDescent="0.3">
      <c r="A53" s="9" t="s">
        <v>119</v>
      </c>
      <c r="B53" s="10">
        <v>46115</v>
      </c>
      <c r="C53" s="9" t="s">
        <v>56</v>
      </c>
      <c r="D53" s="11" t="s">
        <v>57</v>
      </c>
      <c r="E53" s="9" t="s">
        <v>24</v>
      </c>
      <c r="F53" s="9" t="s">
        <v>31</v>
      </c>
      <c r="G53" s="12">
        <v>49</v>
      </c>
      <c r="H53" s="11" t="s">
        <v>25</v>
      </c>
      <c r="I53" s="9" t="s">
        <v>58</v>
      </c>
      <c r="J53" s="12">
        <v>3200</v>
      </c>
      <c r="K53" s="12">
        <v>0</v>
      </c>
      <c r="L53" s="13">
        <v>1.3</v>
      </c>
      <c r="M53" s="9" t="s">
        <v>20</v>
      </c>
      <c r="N53" s="22">
        <f>DATE(YEAR(WarehouseTransactions3[[#This Row],[Date]]),MONTH(WarehouseTransactions3[[#This Row],[Date]]),1)</f>
        <v>46113</v>
      </c>
      <c r="O53" s="24">
        <f>WarehouseTransactions3[[#This Row],[Quantity]]*WarehouseTransactions3[[#This Row],[Unit_Cost]]</f>
        <v>156800</v>
      </c>
      <c r="P53" s="25">
        <f>WarehouseTransactions3[[#This Row],[Quantity]]-WarehouseTransactions3[[#This Row],[Damaged_Qty]]</f>
        <v>49</v>
      </c>
      <c r="Q53">
        <f>IF(WarehouseTransactions3[[#This Row],[Transaction_Type]]="Inbound",WarehouseTransactions3[[#This Row],[Quantity]],-WarehouseTransactions3[[#This Row],[Quantity]])</f>
        <v>-49</v>
      </c>
      <c r="R53" s="26">
        <f>IFERROR(WarehouseTransactions3[[#This Row],[Damaged_Qty]]/WarehouseTransactions3[[#This Row],[Quantity]],0)</f>
        <v>0</v>
      </c>
      <c r="S53">
        <f>IF(WarehouseTransactions3[[#This Row],[Status]]="Delayed",1,0)</f>
        <v>0</v>
      </c>
      <c r="T53">
        <f>IF(WarehouseTransactions3[[#This Row],[Status]]="Pending",1,0)</f>
        <v>0</v>
      </c>
      <c r="U53" s="20">
        <f>IF(WarehouseTransactions3[[#This Row],[Processing_Time_Hours]]&gt;8,1,0)</f>
        <v>0</v>
      </c>
      <c r="V53" s="27">
        <f>WarehouseTransactions3[[#This Row],[Processing_Time_Hours]]/24</f>
        <v>5.4166666666666669E-2</v>
      </c>
      <c r="W53" s="20">
        <f>IF(WarehouseTransactions3[[#This Row],[Transaction_Type]]="Inbound",WarehouseTransactions3[[#This Row],[Quantity]],0)</f>
        <v>0</v>
      </c>
      <c r="X53" s="20">
        <f>IF(WarehouseTransactions3[[#This Row],[Transaction_Type]]="Outbound",WarehouseTransactions3[[#This Row],[Quantity]],0)</f>
        <v>49</v>
      </c>
      <c r="Y53" s="24">
        <f>IF(WarehouseTransactions3[[#This Row],[Transaction_Type]]="Inbound",WarehouseTransactions3[[#This Row],[Transaction_Value]],0)</f>
        <v>0</v>
      </c>
      <c r="Z53" s="24">
        <f>IF(WarehouseTransactions3[[#This Row],[Transaction_Type]]="Outbound",WarehouseTransactions3[[#This Row],[Transaction_Value]],0)</f>
        <v>156800</v>
      </c>
    </row>
    <row r="54" spans="1:26" x14ac:dyDescent="0.3">
      <c r="A54" s="9" t="s">
        <v>120</v>
      </c>
      <c r="B54" s="10">
        <v>46116</v>
      </c>
      <c r="C54" s="9" t="s">
        <v>121</v>
      </c>
      <c r="D54" s="11" t="s">
        <v>122</v>
      </c>
      <c r="E54" s="9" t="s">
        <v>24</v>
      </c>
      <c r="F54" s="9" t="s">
        <v>31</v>
      </c>
      <c r="G54" s="12">
        <v>71</v>
      </c>
      <c r="H54" s="11" t="s">
        <v>25</v>
      </c>
      <c r="I54" s="9" t="s">
        <v>58</v>
      </c>
      <c r="J54" s="12">
        <v>18500</v>
      </c>
      <c r="K54" s="12">
        <v>0</v>
      </c>
      <c r="L54" s="13">
        <v>5.6</v>
      </c>
      <c r="M54" s="9" t="s">
        <v>20</v>
      </c>
      <c r="N54" s="22">
        <f>DATE(YEAR(WarehouseTransactions3[[#This Row],[Date]]),MONTH(WarehouseTransactions3[[#This Row],[Date]]),1)</f>
        <v>46113</v>
      </c>
      <c r="O54" s="24">
        <f>WarehouseTransactions3[[#This Row],[Quantity]]*WarehouseTransactions3[[#This Row],[Unit_Cost]]</f>
        <v>1313500</v>
      </c>
      <c r="P54" s="25">
        <f>WarehouseTransactions3[[#This Row],[Quantity]]-WarehouseTransactions3[[#This Row],[Damaged_Qty]]</f>
        <v>71</v>
      </c>
      <c r="Q54">
        <f>IF(WarehouseTransactions3[[#This Row],[Transaction_Type]]="Inbound",WarehouseTransactions3[[#This Row],[Quantity]],-WarehouseTransactions3[[#This Row],[Quantity]])</f>
        <v>-71</v>
      </c>
      <c r="R54" s="26">
        <f>IFERROR(WarehouseTransactions3[[#This Row],[Damaged_Qty]]/WarehouseTransactions3[[#This Row],[Quantity]],0)</f>
        <v>0</v>
      </c>
      <c r="S54">
        <f>IF(WarehouseTransactions3[[#This Row],[Status]]="Delayed",1,0)</f>
        <v>0</v>
      </c>
      <c r="T54">
        <f>IF(WarehouseTransactions3[[#This Row],[Status]]="Pending",1,0)</f>
        <v>0</v>
      </c>
      <c r="U54" s="20">
        <f>IF(WarehouseTransactions3[[#This Row],[Processing_Time_Hours]]&gt;8,1,0)</f>
        <v>0</v>
      </c>
      <c r="V54" s="27">
        <f>WarehouseTransactions3[[#This Row],[Processing_Time_Hours]]/24</f>
        <v>0.23333333333333331</v>
      </c>
      <c r="W54" s="20">
        <f>IF(WarehouseTransactions3[[#This Row],[Transaction_Type]]="Inbound",WarehouseTransactions3[[#This Row],[Quantity]],0)</f>
        <v>0</v>
      </c>
      <c r="X54" s="20">
        <f>IF(WarehouseTransactions3[[#This Row],[Transaction_Type]]="Outbound",WarehouseTransactions3[[#This Row],[Quantity]],0)</f>
        <v>71</v>
      </c>
      <c r="Y54" s="24">
        <f>IF(WarehouseTransactions3[[#This Row],[Transaction_Type]]="Inbound",WarehouseTransactions3[[#This Row],[Transaction_Value]],0)</f>
        <v>0</v>
      </c>
      <c r="Z54" s="24">
        <f>IF(WarehouseTransactions3[[#This Row],[Transaction_Type]]="Outbound",WarehouseTransactions3[[#This Row],[Transaction_Value]],0)</f>
        <v>1313500</v>
      </c>
    </row>
    <row r="55" spans="1:26" x14ac:dyDescent="0.3">
      <c r="A55" s="9" t="s">
        <v>123</v>
      </c>
      <c r="B55" s="10">
        <v>46117</v>
      </c>
      <c r="C55" s="9" t="s">
        <v>115</v>
      </c>
      <c r="D55" s="11" t="s">
        <v>116</v>
      </c>
      <c r="E55" s="9" t="s">
        <v>36</v>
      </c>
      <c r="F55" s="9" t="s">
        <v>17</v>
      </c>
      <c r="G55" s="12">
        <v>36</v>
      </c>
      <c r="H55" s="11" t="s">
        <v>37</v>
      </c>
      <c r="I55" s="9" t="s">
        <v>63</v>
      </c>
      <c r="J55" s="12">
        <v>16800</v>
      </c>
      <c r="K55" s="12">
        <v>1</v>
      </c>
      <c r="L55" s="13">
        <v>5.7</v>
      </c>
      <c r="M55" s="9" t="s">
        <v>43</v>
      </c>
      <c r="N55" s="22">
        <f>DATE(YEAR(WarehouseTransactions3[[#This Row],[Date]]),MONTH(WarehouseTransactions3[[#This Row],[Date]]),1)</f>
        <v>46113</v>
      </c>
      <c r="O55" s="24">
        <f>WarehouseTransactions3[[#This Row],[Quantity]]*WarehouseTransactions3[[#This Row],[Unit_Cost]]</f>
        <v>604800</v>
      </c>
      <c r="P55" s="25">
        <f>WarehouseTransactions3[[#This Row],[Quantity]]-WarehouseTransactions3[[#This Row],[Damaged_Qty]]</f>
        <v>35</v>
      </c>
      <c r="Q55">
        <f>IF(WarehouseTransactions3[[#This Row],[Transaction_Type]]="Inbound",WarehouseTransactions3[[#This Row],[Quantity]],-WarehouseTransactions3[[#This Row],[Quantity]])</f>
        <v>36</v>
      </c>
      <c r="R55" s="26">
        <f>IFERROR(WarehouseTransactions3[[#This Row],[Damaged_Qty]]/WarehouseTransactions3[[#This Row],[Quantity]],0)</f>
        <v>2.7777777777777776E-2</v>
      </c>
      <c r="S55">
        <f>IF(WarehouseTransactions3[[#This Row],[Status]]="Delayed",1,0)</f>
        <v>0</v>
      </c>
      <c r="T55">
        <f>IF(WarehouseTransactions3[[#This Row],[Status]]="Pending",1,0)</f>
        <v>1</v>
      </c>
      <c r="U55" s="20">
        <f>IF(WarehouseTransactions3[[#This Row],[Processing_Time_Hours]]&gt;8,1,0)</f>
        <v>0</v>
      </c>
      <c r="V55" s="27">
        <f>WarehouseTransactions3[[#This Row],[Processing_Time_Hours]]/24</f>
        <v>0.23750000000000002</v>
      </c>
      <c r="W55" s="20">
        <f>IF(WarehouseTransactions3[[#This Row],[Transaction_Type]]="Inbound",WarehouseTransactions3[[#This Row],[Quantity]],0)</f>
        <v>36</v>
      </c>
      <c r="X55" s="20">
        <f>IF(WarehouseTransactions3[[#This Row],[Transaction_Type]]="Outbound",WarehouseTransactions3[[#This Row],[Quantity]],0)</f>
        <v>0</v>
      </c>
      <c r="Y55" s="24">
        <f>IF(WarehouseTransactions3[[#This Row],[Transaction_Type]]="Inbound",WarehouseTransactions3[[#This Row],[Transaction_Value]],0)</f>
        <v>604800</v>
      </c>
      <c r="Z55" s="24">
        <f>IF(WarehouseTransactions3[[#This Row],[Transaction_Type]]="Outbound",WarehouseTransactions3[[#This Row],[Transaction_Value]],0)</f>
        <v>0</v>
      </c>
    </row>
    <row r="56" spans="1:26" x14ac:dyDescent="0.3">
      <c r="A56" s="9" t="s">
        <v>124</v>
      </c>
      <c r="B56" s="10">
        <v>46118</v>
      </c>
      <c r="C56" s="9" t="s">
        <v>121</v>
      </c>
      <c r="D56" s="11" t="s">
        <v>122</v>
      </c>
      <c r="E56" s="9" t="s">
        <v>24</v>
      </c>
      <c r="F56" s="9" t="s">
        <v>17</v>
      </c>
      <c r="G56" s="12">
        <v>41</v>
      </c>
      <c r="H56" s="11" t="s">
        <v>25</v>
      </c>
      <c r="I56" s="9" t="s">
        <v>58</v>
      </c>
      <c r="J56" s="12">
        <v>18500</v>
      </c>
      <c r="K56" s="12">
        <v>0</v>
      </c>
      <c r="L56" s="13">
        <v>4</v>
      </c>
      <c r="M56" s="9" t="s">
        <v>20</v>
      </c>
      <c r="N56" s="22">
        <f>DATE(YEAR(WarehouseTransactions3[[#This Row],[Date]]),MONTH(WarehouseTransactions3[[#This Row],[Date]]),1)</f>
        <v>46113</v>
      </c>
      <c r="O56" s="24">
        <f>WarehouseTransactions3[[#This Row],[Quantity]]*WarehouseTransactions3[[#This Row],[Unit_Cost]]</f>
        <v>758500</v>
      </c>
      <c r="P56" s="25">
        <f>WarehouseTransactions3[[#This Row],[Quantity]]-WarehouseTransactions3[[#This Row],[Damaged_Qty]]</f>
        <v>41</v>
      </c>
      <c r="Q56">
        <f>IF(WarehouseTransactions3[[#This Row],[Transaction_Type]]="Inbound",WarehouseTransactions3[[#This Row],[Quantity]],-WarehouseTransactions3[[#This Row],[Quantity]])</f>
        <v>41</v>
      </c>
      <c r="R56" s="26">
        <f>IFERROR(WarehouseTransactions3[[#This Row],[Damaged_Qty]]/WarehouseTransactions3[[#This Row],[Quantity]],0)</f>
        <v>0</v>
      </c>
      <c r="S56">
        <f>IF(WarehouseTransactions3[[#This Row],[Status]]="Delayed",1,0)</f>
        <v>0</v>
      </c>
      <c r="T56">
        <f>IF(WarehouseTransactions3[[#This Row],[Status]]="Pending",1,0)</f>
        <v>0</v>
      </c>
      <c r="U56" s="20">
        <f>IF(WarehouseTransactions3[[#This Row],[Processing_Time_Hours]]&gt;8,1,0)</f>
        <v>0</v>
      </c>
      <c r="V56" s="27">
        <f>WarehouseTransactions3[[#This Row],[Processing_Time_Hours]]/24</f>
        <v>0.16666666666666666</v>
      </c>
      <c r="W56" s="20">
        <f>IF(WarehouseTransactions3[[#This Row],[Transaction_Type]]="Inbound",WarehouseTransactions3[[#This Row],[Quantity]],0)</f>
        <v>41</v>
      </c>
      <c r="X56" s="20">
        <f>IF(WarehouseTransactions3[[#This Row],[Transaction_Type]]="Outbound",WarehouseTransactions3[[#This Row],[Quantity]],0)</f>
        <v>0</v>
      </c>
      <c r="Y56" s="24">
        <f>IF(WarehouseTransactions3[[#This Row],[Transaction_Type]]="Inbound",WarehouseTransactions3[[#This Row],[Transaction_Value]],0)</f>
        <v>758500</v>
      </c>
      <c r="Z56" s="24">
        <f>IF(WarehouseTransactions3[[#This Row],[Transaction_Type]]="Outbound",WarehouseTransactions3[[#This Row],[Transaction_Value]],0)</f>
        <v>0</v>
      </c>
    </row>
    <row r="57" spans="1:26" x14ac:dyDescent="0.3">
      <c r="A57" s="9" t="s">
        <v>125</v>
      </c>
      <c r="B57" s="10">
        <v>46119</v>
      </c>
      <c r="C57" s="9" t="s">
        <v>121</v>
      </c>
      <c r="D57" s="11" t="s">
        <v>122</v>
      </c>
      <c r="E57" s="9" t="s">
        <v>24</v>
      </c>
      <c r="F57" s="9" t="s">
        <v>17</v>
      </c>
      <c r="G57" s="12">
        <v>74</v>
      </c>
      <c r="H57" s="11" t="s">
        <v>25</v>
      </c>
      <c r="I57" s="9" t="s">
        <v>58</v>
      </c>
      <c r="J57" s="12">
        <v>18500</v>
      </c>
      <c r="K57" s="12">
        <v>0</v>
      </c>
      <c r="L57" s="13">
        <v>5.3</v>
      </c>
      <c r="M57" s="9" t="s">
        <v>20</v>
      </c>
      <c r="N57" s="22">
        <f>DATE(YEAR(WarehouseTransactions3[[#This Row],[Date]]),MONTH(WarehouseTransactions3[[#This Row],[Date]]),1)</f>
        <v>46113</v>
      </c>
      <c r="O57" s="24">
        <f>WarehouseTransactions3[[#This Row],[Quantity]]*WarehouseTransactions3[[#This Row],[Unit_Cost]]</f>
        <v>1369000</v>
      </c>
      <c r="P57" s="25">
        <f>WarehouseTransactions3[[#This Row],[Quantity]]-WarehouseTransactions3[[#This Row],[Damaged_Qty]]</f>
        <v>74</v>
      </c>
      <c r="Q57">
        <f>IF(WarehouseTransactions3[[#This Row],[Transaction_Type]]="Inbound",WarehouseTransactions3[[#This Row],[Quantity]],-WarehouseTransactions3[[#This Row],[Quantity]])</f>
        <v>74</v>
      </c>
      <c r="R57" s="26">
        <f>IFERROR(WarehouseTransactions3[[#This Row],[Damaged_Qty]]/WarehouseTransactions3[[#This Row],[Quantity]],0)</f>
        <v>0</v>
      </c>
      <c r="S57">
        <f>IF(WarehouseTransactions3[[#This Row],[Status]]="Delayed",1,0)</f>
        <v>0</v>
      </c>
      <c r="T57">
        <f>IF(WarehouseTransactions3[[#This Row],[Status]]="Pending",1,0)</f>
        <v>0</v>
      </c>
      <c r="U57" s="20">
        <f>IF(WarehouseTransactions3[[#This Row],[Processing_Time_Hours]]&gt;8,1,0)</f>
        <v>0</v>
      </c>
      <c r="V57" s="27">
        <f>WarehouseTransactions3[[#This Row],[Processing_Time_Hours]]/24</f>
        <v>0.22083333333333333</v>
      </c>
      <c r="W57" s="20">
        <f>IF(WarehouseTransactions3[[#This Row],[Transaction_Type]]="Inbound",WarehouseTransactions3[[#This Row],[Quantity]],0)</f>
        <v>74</v>
      </c>
      <c r="X57" s="20">
        <f>IF(WarehouseTransactions3[[#This Row],[Transaction_Type]]="Outbound",WarehouseTransactions3[[#This Row],[Quantity]],0)</f>
        <v>0</v>
      </c>
      <c r="Y57" s="24">
        <f>IF(WarehouseTransactions3[[#This Row],[Transaction_Type]]="Inbound",WarehouseTransactions3[[#This Row],[Transaction_Value]],0)</f>
        <v>1369000</v>
      </c>
      <c r="Z57" s="24">
        <f>IF(WarehouseTransactions3[[#This Row],[Transaction_Type]]="Outbound",WarehouseTransactions3[[#This Row],[Transaction_Value]],0)</f>
        <v>0</v>
      </c>
    </row>
    <row r="58" spans="1:26" x14ac:dyDescent="0.3">
      <c r="A58" s="9" t="s">
        <v>126</v>
      </c>
      <c r="B58" s="10">
        <v>46122</v>
      </c>
      <c r="C58" s="9" t="s">
        <v>56</v>
      </c>
      <c r="D58" s="11" t="s">
        <v>57</v>
      </c>
      <c r="E58" s="9" t="s">
        <v>24</v>
      </c>
      <c r="F58" s="9" t="s">
        <v>31</v>
      </c>
      <c r="G58" s="12">
        <v>100</v>
      </c>
      <c r="H58" s="11" t="s">
        <v>25</v>
      </c>
      <c r="I58" s="9" t="s">
        <v>58</v>
      </c>
      <c r="J58" s="12">
        <v>3200</v>
      </c>
      <c r="K58" s="12">
        <v>0</v>
      </c>
      <c r="L58" s="13">
        <v>2.6</v>
      </c>
      <c r="M58" s="9" t="s">
        <v>20</v>
      </c>
      <c r="N58" s="22">
        <f>DATE(YEAR(WarehouseTransactions3[[#This Row],[Date]]),MONTH(WarehouseTransactions3[[#This Row],[Date]]),1)</f>
        <v>46113</v>
      </c>
      <c r="O58" s="24">
        <f>WarehouseTransactions3[[#This Row],[Quantity]]*WarehouseTransactions3[[#This Row],[Unit_Cost]]</f>
        <v>320000</v>
      </c>
      <c r="P58" s="25">
        <f>WarehouseTransactions3[[#This Row],[Quantity]]-WarehouseTransactions3[[#This Row],[Damaged_Qty]]</f>
        <v>100</v>
      </c>
      <c r="Q58">
        <f>IF(WarehouseTransactions3[[#This Row],[Transaction_Type]]="Inbound",WarehouseTransactions3[[#This Row],[Quantity]],-WarehouseTransactions3[[#This Row],[Quantity]])</f>
        <v>-100</v>
      </c>
      <c r="R58" s="26">
        <f>IFERROR(WarehouseTransactions3[[#This Row],[Damaged_Qty]]/WarehouseTransactions3[[#This Row],[Quantity]],0)</f>
        <v>0</v>
      </c>
      <c r="S58">
        <f>IF(WarehouseTransactions3[[#This Row],[Status]]="Delayed",1,0)</f>
        <v>0</v>
      </c>
      <c r="T58">
        <f>IF(WarehouseTransactions3[[#This Row],[Status]]="Pending",1,0)</f>
        <v>0</v>
      </c>
      <c r="U58" s="20">
        <f>IF(WarehouseTransactions3[[#This Row],[Processing_Time_Hours]]&gt;8,1,0)</f>
        <v>0</v>
      </c>
      <c r="V58" s="27">
        <f>WarehouseTransactions3[[#This Row],[Processing_Time_Hours]]/24</f>
        <v>0.10833333333333334</v>
      </c>
      <c r="W58" s="20">
        <f>IF(WarehouseTransactions3[[#This Row],[Transaction_Type]]="Inbound",WarehouseTransactions3[[#This Row],[Quantity]],0)</f>
        <v>0</v>
      </c>
      <c r="X58" s="20">
        <f>IF(WarehouseTransactions3[[#This Row],[Transaction_Type]]="Outbound",WarehouseTransactions3[[#This Row],[Quantity]],0)</f>
        <v>100</v>
      </c>
      <c r="Y58" s="24">
        <f>IF(WarehouseTransactions3[[#This Row],[Transaction_Type]]="Inbound",WarehouseTransactions3[[#This Row],[Transaction_Value]],0)</f>
        <v>0</v>
      </c>
      <c r="Z58" s="24">
        <f>IF(WarehouseTransactions3[[#This Row],[Transaction_Type]]="Outbound",WarehouseTransactions3[[#This Row],[Transaction_Value]],0)</f>
        <v>320000</v>
      </c>
    </row>
    <row r="59" spans="1:26" x14ac:dyDescent="0.3">
      <c r="A59" s="9" t="s">
        <v>127</v>
      </c>
      <c r="B59" s="10">
        <v>46125</v>
      </c>
      <c r="C59" s="9" t="s">
        <v>72</v>
      </c>
      <c r="D59" s="11" t="s">
        <v>73</v>
      </c>
      <c r="E59" s="9" t="s">
        <v>47</v>
      </c>
      <c r="F59" s="9" t="s">
        <v>17</v>
      </c>
      <c r="G59" s="12">
        <v>52</v>
      </c>
      <c r="H59" s="11" t="s">
        <v>48</v>
      </c>
      <c r="I59" s="9" t="s">
        <v>74</v>
      </c>
      <c r="J59" s="12">
        <v>3100</v>
      </c>
      <c r="K59" s="12">
        <v>4</v>
      </c>
      <c r="L59" s="13">
        <v>7.6</v>
      </c>
      <c r="M59" s="9" t="s">
        <v>39</v>
      </c>
      <c r="N59" s="22">
        <f>DATE(YEAR(WarehouseTransactions3[[#This Row],[Date]]),MONTH(WarehouseTransactions3[[#This Row],[Date]]),1)</f>
        <v>46113</v>
      </c>
      <c r="O59" s="24">
        <f>WarehouseTransactions3[[#This Row],[Quantity]]*WarehouseTransactions3[[#This Row],[Unit_Cost]]</f>
        <v>161200</v>
      </c>
      <c r="P59" s="25">
        <f>WarehouseTransactions3[[#This Row],[Quantity]]-WarehouseTransactions3[[#This Row],[Damaged_Qty]]</f>
        <v>48</v>
      </c>
      <c r="Q59">
        <f>IF(WarehouseTransactions3[[#This Row],[Transaction_Type]]="Inbound",WarehouseTransactions3[[#This Row],[Quantity]],-WarehouseTransactions3[[#This Row],[Quantity]])</f>
        <v>52</v>
      </c>
      <c r="R59" s="26">
        <f>IFERROR(WarehouseTransactions3[[#This Row],[Damaged_Qty]]/WarehouseTransactions3[[#This Row],[Quantity]],0)</f>
        <v>7.6923076923076927E-2</v>
      </c>
      <c r="S59">
        <f>IF(WarehouseTransactions3[[#This Row],[Status]]="Delayed",1,0)</f>
        <v>1</v>
      </c>
      <c r="T59">
        <f>IF(WarehouseTransactions3[[#This Row],[Status]]="Pending",1,0)</f>
        <v>0</v>
      </c>
      <c r="U59" s="20">
        <f>IF(WarehouseTransactions3[[#This Row],[Processing_Time_Hours]]&gt;8,1,0)</f>
        <v>0</v>
      </c>
      <c r="V59" s="27">
        <f>WarehouseTransactions3[[#This Row],[Processing_Time_Hours]]/24</f>
        <v>0.31666666666666665</v>
      </c>
      <c r="W59" s="20">
        <f>IF(WarehouseTransactions3[[#This Row],[Transaction_Type]]="Inbound",WarehouseTransactions3[[#This Row],[Quantity]],0)</f>
        <v>52</v>
      </c>
      <c r="X59" s="20">
        <f>IF(WarehouseTransactions3[[#This Row],[Transaction_Type]]="Outbound",WarehouseTransactions3[[#This Row],[Quantity]],0)</f>
        <v>0</v>
      </c>
      <c r="Y59" s="24">
        <f>IF(WarehouseTransactions3[[#This Row],[Transaction_Type]]="Inbound",WarehouseTransactions3[[#This Row],[Transaction_Value]],0)</f>
        <v>161200</v>
      </c>
      <c r="Z59" s="24">
        <f>IF(WarehouseTransactions3[[#This Row],[Transaction_Type]]="Outbound",WarehouseTransactions3[[#This Row],[Transaction_Value]],0)</f>
        <v>0</v>
      </c>
    </row>
    <row r="60" spans="1:26" x14ac:dyDescent="0.3">
      <c r="A60" s="9" t="s">
        <v>128</v>
      </c>
      <c r="B60" s="10">
        <v>46129</v>
      </c>
      <c r="C60" s="9" t="s">
        <v>93</v>
      </c>
      <c r="D60" s="11" t="s">
        <v>94</v>
      </c>
      <c r="E60" s="9" t="s">
        <v>47</v>
      </c>
      <c r="F60" s="9" t="s">
        <v>17</v>
      </c>
      <c r="G60" s="12">
        <v>58</v>
      </c>
      <c r="H60" s="11" t="s">
        <v>48</v>
      </c>
      <c r="I60" s="9" t="s">
        <v>49</v>
      </c>
      <c r="J60" s="12">
        <v>14500</v>
      </c>
      <c r="K60" s="12">
        <v>0</v>
      </c>
      <c r="L60" s="13">
        <v>1.3</v>
      </c>
      <c r="M60" s="9" t="s">
        <v>20</v>
      </c>
      <c r="N60" s="22">
        <f>DATE(YEAR(WarehouseTransactions3[[#This Row],[Date]]),MONTH(WarehouseTransactions3[[#This Row],[Date]]),1)</f>
        <v>46113</v>
      </c>
      <c r="O60" s="24">
        <f>WarehouseTransactions3[[#This Row],[Quantity]]*WarehouseTransactions3[[#This Row],[Unit_Cost]]</f>
        <v>841000</v>
      </c>
      <c r="P60" s="25">
        <f>WarehouseTransactions3[[#This Row],[Quantity]]-WarehouseTransactions3[[#This Row],[Damaged_Qty]]</f>
        <v>58</v>
      </c>
      <c r="Q60">
        <f>IF(WarehouseTransactions3[[#This Row],[Transaction_Type]]="Inbound",WarehouseTransactions3[[#This Row],[Quantity]],-WarehouseTransactions3[[#This Row],[Quantity]])</f>
        <v>58</v>
      </c>
      <c r="R60" s="26">
        <f>IFERROR(WarehouseTransactions3[[#This Row],[Damaged_Qty]]/WarehouseTransactions3[[#This Row],[Quantity]],0)</f>
        <v>0</v>
      </c>
      <c r="S60">
        <f>IF(WarehouseTransactions3[[#This Row],[Status]]="Delayed",1,0)</f>
        <v>0</v>
      </c>
      <c r="T60">
        <f>IF(WarehouseTransactions3[[#This Row],[Status]]="Pending",1,0)</f>
        <v>0</v>
      </c>
      <c r="U60" s="20">
        <f>IF(WarehouseTransactions3[[#This Row],[Processing_Time_Hours]]&gt;8,1,0)</f>
        <v>0</v>
      </c>
      <c r="V60" s="27">
        <f>WarehouseTransactions3[[#This Row],[Processing_Time_Hours]]/24</f>
        <v>5.4166666666666669E-2</v>
      </c>
      <c r="W60" s="20">
        <f>IF(WarehouseTransactions3[[#This Row],[Transaction_Type]]="Inbound",WarehouseTransactions3[[#This Row],[Quantity]],0)</f>
        <v>58</v>
      </c>
      <c r="X60" s="20">
        <f>IF(WarehouseTransactions3[[#This Row],[Transaction_Type]]="Outbound",WarehouseTransactions3[[#This Row],[Quantity]],0)</f>
        <v>0</v>
      </c>
      <c r="Y60" s="24">
        <f>IF(WarehouseTransactions3[[#This Row],[Transaction_Type]]="Inbound",WarehouseTransactions3[[#This Row],[Transaction_Value]],0)</f>
        <v>841000</v>
      </c>
      <c r="Z60" s="24">
        <f>IF(WarehouseTransactions3[[#This Row],[Transaction_Type]]="Outbound",WarehouseTransactions3[[#This Row],[Transaction_Value]],0)</f>
        <v>0</v>
      </c>
    </row>
    <row r="61" spans="1:26" x14ac:dyDescent="0.3">
      <c r="A61" s="9" t="s">
        <v>129</v>
      </c>
      <c r="B61" s="10">
        <v>46129</v>
      </c>
      <c r="C61" s="9" t="s">
        <v>34</v>
      </c>
      <c r="D61" s="11" t="s">
        <v>35</v>
      </c>
      <c r="E61" s="9" t="s">
        <v>36</v>
      </c>
      <c r="F61" s="9" t="s">
        <v>17</v>
      </c>
      <c r="G61" s="12">
        <v>15</v>
      </c>
      <c r="H61" s="11" t="s">
        <v>37</v>
      </c>
      <c r="I61" s="9" t="s">
        <v>38</v>
      </c>
      <c r="J61" s="12">
        <v>13900</v>
      </c>
      <c r="K61" s="12">
        <v>0</v>
      </c>
      <c r="L61" s="13">
        <v>2.8</v>
      </c>
      <c r="M61" s="9" t="s">
        <v>20</v>
      </c>
      <c r="N61" s="22">
        <f>DATE(YEAR(WarehouseTransactions3[[#This Row],[Date]]),MONTH(WarehouseTransactions3[[#This Row],[Date]]),1)</f>
        <v>46113</v>
      </c>
      <c r="O61" s="24">
        <f>WarehouseTransactions3[[#This Row],[Quantity]]*WarehouseTransactions3[[#This Row],[Unit_Cost]]</f>
        <v>208500</v>
      </c>
      <c r="P61" s="25">
        <f>WarehouseTransactions3[[#This Row],[Quantity]]-WarehouseTransactions3[[#This Row],[Damaged_Qty]]</f>
        <v>15</v>
      </c>
      <c r="Q61">
        <f>IF(WarehouseTransactions3[[#This Row],[Transaction_Type]]="Inbound",WarehouseTransactions3[[#This Row],[Quantity]],-WarehouseTransactions3[[#This Row],[Quantity]])</f>
        <v>15</v>
      </c>
      <c r="R61" s="26">
        <f>IFERROR(WarehouseTransactions3[[#This Row],[Damaged_Qty]]/WarehouseTransactions3[[#This Row],[Quantity]],0)</f>
        <v>0</v>
      </c>
      <c r="S61">
        <f>IF(WarehouseTransactions3[[#This Row],[Status]]="Delayed",1,0)</f>
        <v>0</v>
      </c>
      <c r="T61">
        <f>IF(WarehouseTransactions3[[#This Row],[Status]]="Pending",1,0)</f>
        <v>0</v>
      </c>
      <c r="U61" s="20">
        <f>IF(WarehouseTransactions3[[#This Row],[Processing_Time_Hours]]&gt;8,1,0)</f>
        <v>0</v>
      </c>
      <c r="V61" s="27">
        <f>WarehouseTransactions3[[#This Row],[Processing_Time_Hours]]/24</f>
        <v>0.11666666666666665</v>
      </c>
      <c r="W61" s="20">
        <f>IF(WarehouseTransactions3[[#This Row],[Transaction_Type]]="Inbound",WarehouseTransactions3[[#This Row],[Quantity]],0)</f>
        <v>15</v>
      </c>
      <c r="X61" s="20">
        <f>IF(WarehouseTransactions3[[#This Row],[Transaction_Type]]="Outbound",WarehouseTransactions3[[#This Row],[Quantity]],0)</f>
        <v>0</v>
      </c>
      <c r="Y61" s="24">
        <f>IF(WarehouseTransactions3[[#This Row],[Transaction_Type]]="Inbound",WarehouseTransactions3[[#This Row],[Transaction_Value]],0)</f>
        <v>208500</v>
      </c>
      <c r="Z61" s="24">
        <f>IF(WarehouseTransactions3[[#This Row],[Transaction_Type]]="Outbound",WarehouseTransactions3[[#This Row],[Transaction_Value]],0)</f>
        <v>0</v>
      </c>
    </row>
    <row r="62" spans="1:26" x14ac:dyDescent="0.3">
      <c r="A62" s="9" t="s">
        <v>130</v>
      </c>
      <c r="B62" s="10">
        <v>46131</v>
      </c>
      <c r="C62" s="9" t="s">
        <v>100</v>
      </c>
      <c r="D62" s="11" t="s">
        <v>101</v>
      </c>
      <c r="E62" s="9" t="s">
        <v>30</v>
      </c>
      <c r="F62" s="9" t="s">
        <v>31</v>
      </c>
      <c r="G62" s="12">
        <v>67</v>
      </c>
      <c r="H62" s="11" t="s">
        <v>32</v>
      </c>
      <c r="I62" s="9" t="s">
        <v>67</v>
      </c>
      <c r="J62" s="12">
        <v>23800</v>
      </c>
      <c r="K62" s="12">
        <v>0</v>
      </c>
      <c r="L62" s="13">
        <v>3.5</v>
      </c>
      <c r="M62" s="9" t="s">
        <v>20</v>
      </c>
      <c r="N62" s="22">
        <f>DATE(YEAR(WarehouseTransactions3[[#This Row],[Date]]),MONTH(WarehouseTransactions3[[#This Row],[Date]]),1)</f>
        <v>46113</v>
      </c>
      <c r="O62" s="24">
        <f>WarehouseTransactions3[[#This Row],[Quantity]]*WarehouseTransactions3[[#This Row],[Unit_Cost]]</f>
        <v>1594600</v>
      </c>
      <c r="P62" s="25">
        <f>WarehouseTransactions3[[#This Row],[Quantity]]-WarehouseTransactions3[[#This Row],[Damaged_Qty]]</f>
        <v>67</v>
      </c>
      <c r="Q62">
        <f>IF(WarehouseTransactions3[[#This Row],[Transaction_Type]]="Inbound",WarehouseTransactions3[[#This Row],[Quantity]],-WarehouseTransactions3[[#This Row],[Quantity]])</f>
        <v>-67</v>
      </c>
      <c r="R62" s="26">
        <f>IFERROR(WarehouseTransactions3[[#This Row],[Damaged_Qty]]/WarehouseTransactions3[[#This Row],[Quantity]],0)</f>
        <v>0</v>
      </c>
      <c r="S62">
        <f>IF(WarehouseTransactions3[[#This Row],[Status]]="Delayed",1,0)</f>
        <v>0</v>
      </c>
      <c r="T62">
        <f>IF(WarehouseTransactions3[[#This Row],[Status]]="Pending",1,0)</f>
        <v>0</v>
      </c>
      <c r="U62" s="20">
        <f>IF(WarehouseTransactions3[[#This Row],[Processing_Time_Hours]]&gt;8,1,0)</f>
        <v>0</v>
      </c>
      <c r="V62" s="27">
        <f>WarehouseTransactions3[[#This Row],[Processing_Time_Hours]]/24</f>
        <v>0.14583333333333334</v>
      </c>
      <c r="W62" s="20">
        <f>IF(WarehouseTransactions3[[#This Row],[Transaction_Type]]="Inbound",WarehouseTransactions3[[#This Row],[Quantity]],0)</f>
        <v>0</v>
      </c>
      <c r="X62" s="20">
        <f>IF(WarehouseTransactions3[[#This Row],[Transaction_Type]]="Outbound",WarehouseTransactions3[[#This Row],[Quantity]],0)</f>
        <v>67</v>
      </c>
      <c r="Y62" s="24">
        <f>IF(WarehouseTransactions3[[#This Row],[Transaction_Type]]="Inbound",WarehouseTransactions3[[#This Row],[Transaction_Value]],0)</f>
        <v>0</v>
      </c>
      <c r="Z62" s="24">
        <f>IF(WarehouseTransactions3[[#This Row],[Transaction_Type]]="Outbound",WarehouseTransactions3[[#This Row],[Transaction_Value]],0)</f>
        <v>1594600</v>
      </c>
    </row>
    <row r="63" spans="1:26" x14ac:dyDescent="0.3">
      <c r="A63" s="9" t="s">
        <v>131</v>
      </c>
      <c r="B63" s="10">
        <v>46133</v>
      </c>
      <c r="C63" s="9" t="s">
        <v>34</v>
      </c>
      <c r="D63" s="11" t="s">
        <v>35</v>
      </c>
      <c r="E63" s="9" t="s">
        <v>36</v>
      </c>
      <c r="F63" s="9" t="s">
        <v>31</v>
      </c>
      <c r="G63" s="12">
        <v>45</v>
      </c>
      <c r="H63" s="11" t="s">
        <v>37</v>
      </c>
      <c r="I63" s="9" t="s">
        <v>38</v>
      </c>
      <c r="J63" s="12">
        <v>13900</v>
      </c>
      <c r="K63" s="12">
        <v>0</v>
      </c>
      <c r="L63" s="13">
        <v>5</v>
      </c>
      <c r="M63" s="9" t="s">
        <v>20</v>
      </c>
      <c r="N63" s="22">
        <f>DATE(YEAR(WarehouseTransactions3[[#This Row],[Date]]),MONTH(WarehouseTransactions3[[#This Row],[Date]]),1)</f>
        <v>46113</v>
      </c>
      <c r="O63" s="24">
        <f>WarehouseTransactions3[[#This Row],[Quantity]]*WarehouseTransactions3[[#This Row],[Unit_Cost]]</f>
        <v>625500</v>
      </c>
      <c r="P63" s="25">
        <f>WarehouseTransactions3[[#This Row],[Quantity]]-WarehouseTransactions3[[#This Row],[Damaged_Qty]]</f>
        <v>45</v>
      </c>
      <c r="Q63">
        <f>IF(WarehouseTransactions3[[#This Row],[Transaction_Type]]="Inbound",WarehouseTransactions3[[#This Row],[Quantity]],-WarehouseTransactions3[[#This Row],[Quantity]])</f>
        <v>-45</v>
      </c>
      <c r="R63" s="26">
        <f>IFERROR(WarehouseTransactions3[[#This Row],[Damaged_Qty]]/WarehouseTransactions3[[#This Row],[Quantity]],0)</f>
        <v>0</v>
      </c>
      <c r="S63">
        <f>IF(WarehouseTransactions3[[#This Row],[Status]]="Delayed",1,0)</f>
        <v>0</v>
      </c>
      <c r="T63">
        <f>IF(WarehouseTransactions3[[#This Row],[Status]]="Pending",1,0)</f>
        <v>0</v>
      </c>
      <c r="U63" s="20">
        <f>IF(WarehouseTransactions3[[#This Row],[Processing_Time_Hours]]&gt;8,1,0)</f>
        <v>0</v>
      </c>
      <c r="V63" s="27">
        <f>WarehouseTransactions3[[#This Row],[Processing_Time_Hours]]/24</f>
        <v>0.20833333333333334</v>
      </c>
      <c r="W63" s="20">
        <f>IF(WarehouseTransactions3[[#This Row],[Transaction_Type]]="Inbound",WarehouseTransactions3[[#This Row],[Quantity]],0)</f>
        <v>0</v>
      </c>
      <c r="X63" s="20">
        <f>IF(WarehouseTransactions3[[#This Row],[Transaction_Type]]="Outbound",WarehouseTransactions3[[#This Row],[Quantity]],0)</f>
        <v>45</v>
      </c>
      <c r="Y63" s="24">
        <f>IF(WarehouseTransactions3[[#This Row],[Transaction_Type]]="Inbound",WarehouseTransactions3[[#This Row],[Transaction_Value]],0)</f>
        <v>0</v>
      </c>
      <c r="Z63" s="24">
        <f>IF(WarehouseTransactions3[[#This Row],[Transaction_Type]]="Outbound",WarehouseTransactions3[[#This Row],[Transaction_Value]],0)</f>
        <v>625500</v>
      </c>
    </row>
    <row r="64" spans="1:26" x14ac:dyDescent="0.3">
      <c r="A64" s="9" t="s">
        <v>132</v>
      </c>
      <c r="B64" s="10">
        <v>46133</v>
      </c>
      <c r="C64" s="9" t="s">
        <v>65</v>
      </c>
      <c r="D64" s="11" t="s">
        <v>66</v>
      </c>
      <c r="E64" s="9" t="s">
        <v>16</v>
      </c>
      <c r="F64" s="9" t="s">
        <v>17</v>
      </c>
      <c r="G64" s="12">
        <v>77</v>
      </c>
      <c r="H64" s="11" t="s">
        <v>18</v>
      </c>
      <c r="I64" s="9" t="s">
        <v>67</v>
      </c>
      <c r="J64" s="12">
        <v>12400</v>
      </c>
      <c r="K64" s="12">
        <v>0</v>
      </c>
      <c r="L64" s="13">
        <v>2.6</v>
      </c>
      <c r="M64" s="9" t="s">
        <v>20</v>
      </c>
      <c r="N64" s="22">
        <f>DATE(YEAR(WarehouseTransactions3[[#This Row],[Date]]),MONTH(WarehouseTransactions3[[#This Row],[Date]]),1)</f>
        <v>46113</v>
      </c>
      <c r="O64" s="24">
        <f>WarehouseTransactions3[[#This Row],[Quantity]]*WarehouseTransactions3[[#This Row],[Unit_Cost]]</f>
        <v>954800</v>
      </c>
      <c r="P64" s="25">
        <f>WarehouseTransactions3[[#This Row],[Quantity]]-WarehouseTransactions3[[#This Row],[Damaged_Qty]]</f>
        <v>77</v>
      </c>
      <c r="Q64">
        <f>IF(WarehouseTransactions3[[#This Row],[Transaction_Type]]="Inbound",WarehouseTransactions3[[#This Row],[Quantity]],-WarehouseTransactions3[[#This Row],[Quantity]])</f>
        <v>77</v>
      </c>
      <c r="R64" s="26">
        <f>IFERROR(WarehouseTransactions3[[#This Row],[Damaged_Qty]]/WarehouseTransactions3[[#This Row],[Quantity]],0)</f>
        <v>0</v>
      </c>
      <c r="S64">
        <f>IF(WarehouseTransactions3[[#This Row],[Status]]="Delayed",1,0)</f>
        <v>0</v>
      </c>
      <c r="T64">
        <f>IF(WarehouseTransactions3[[#This Row],[Status]]="Pending",1,0)</f>
        <v>0</v>
      </c>
      <c r="U64" s="20">
        <f>IF(WarehouseTransactions3[[#This Row],[Processing_Time_Hours]]&gt;8,1,0)</f>
        <v>0</v>
      </c>
      <c r="V64" s="27">
        <f>WarehouseTransactions3[[#This Row],[Processing_Time_Hours]]/24</f>
        <v>0.10833333333333334</v>
      </c>
      <c r="W64" s="20">
        <f>IF(WarehouseTransactions3[[#This Row],[Transaction_Type]]="Inbound",WarehouseTransactions3[[#This Row],[Quantity]],0)</f>
        <v>77</v>
      </c>
      <c r="X64" s="20">
        <f>IF(WarehouseTransactions3[[#This Row],[Transaction_Type]]="Outbound",WarehouseTransactions3[[#This Row],[Quantity]],0)</f>
        <v>0</v>
      </c>
      <c r="Y64" s="24">
        <f>IF(WarehouseTransactions3[[#This Row],[Transaction_Type]]="Inbound",WarehouseTransactions3[[#This Row],[Transaction_Value]],0)</f>
        <v>954800</v>
      </c>
      <c r="Z64" s="24">
        <f>IF(WarehouseTransactions3[[#This Row],[Transaction_Type]]="Outbound",WarehouseTransactions3[[#This Row],[Transaction_Value]],0)</f>
        <v>0</v>
      </c>
    </row>
    <row r="65" spans="1:26" x14ac:dyDescent="0.3">
      <c r="A65" s="9" t="s">
        <v>133</v>
      </c>
      <c r="B65" s="10">
        <v>46134</v>
      </c>
      <c r="C65" s="9" t="s">
        <v>69</v>
      </c>
      <c r="D65" s="11" t="s">
        <v>70</v>
      </c>
      <c r="E65" s="9" t="s">
        <v>16</v>
      </c>
      <c r="F65" s="9" t="s">
        <v>17</v>
      </c>
      <c r="G65" s="12">
        <v>70</v>
      </c>
      <c r="H65" s="11" t="s">
        <v>18</v>
      </c>
      <c r="I65" s="9" t="s">
        <v>67</v>
      </c>
      <c r="J65" s="12">
        <v>7800</v>
      </c>
      <c r="K65" s="12">
        <v>0</v>
      </c>
      <c r="L65" s="13">
        <v>4.9000000000000004</v>
      </c>
      <c r="M65" s="9" t="s">
        <v>20</v>
      </c>
      <c r="N65" s="22">
        <f>DATE(YEAR(WarehouseTransactions3[[#This Row],[Date]]),MONTH(WarehouseTransactions3[[#This Row],[Date]]),1)</f>
        <v>46113</v>
      </c>
      <c r="O65" s="24">
        <f>WarehouseTransactions3[[#This Row],[Quantity]]*WarehouseTransactions3[[#This Row],[Unit_Cost]]</f>
        <v>546000</v>
      </c>
      <c r="P65" s="25">
        <f>WarehouseTransactions3[[#This Row],[Quantity]]-WarehouseTransactions3[[#This Row],[Damaged_Qty]]</f>
        <v>70</v>
      </c>
      <c r="Q65">
        <f>IF(WarehouseTransactions3[[#This Row],[Transaction_Type]]="Inbound",WarehouseTransactions3[[#This Row],[Quantity]],-WarehouseTransactions3[[#This Row],[Quantity]])</f>
        <v>70</v>
      </c>
      <c r="R65" s="26">
        <f>IFERROR(WarehouseTransactions3[[#This Row],[Damaged_Qty]]/WarehouseTransactions3[[#This Row],[Quantity]],0)</f>
        <v>0</v>
      </c>
      <c r="S65">
        <f>IF(WarehouseTransactions3[[#This Row],[Status]]="Delayed",1,0)</f>
        <v>0</v>
      </c>
      <c r="T65">
        <f>IF(WarehouseTransactions3[[#This Row],[Status]]="Pending",1,0)</f>
        <v>0</v>
      </c>
      <c r="U65" s="20">
        <f>IF(WarehouseTransactions3[[#This Row],[Processing_Time_Hours]]&gt;8,1,0)</f>
        <v>0</v>
      </c>
      <c r="V65" s="27">
        <f>WarehouseTransactions3[[#This Row],[Processing_Time_Hours]]/24</f>
        <v>0.20416666666666669</v>
      </c>
      <c r="W65" s="20">
        <f>IF(WarehouseTransactions3[[#This Row],[Transaction_Type]]="Inbound",WarehouseTransactions3[[#This Row],[Quantity]],0)</f>
        <v>70</v>
      </c>
      <c r="X65" s="20">
        <f>IF(WarehouseTransactions3[[#This Row],[Transaction_Type]]="Outbound",WarehouseTransactions3[[#This Row],[Quantity]],0)</f>
        <v>0</v>
      </c>
      <c r="Y65" s="24">
        <f>IF(WarehouseTransactions3[[#This Row],[Transaction_Type]]="Inbound",WarehouseTransactions3[[#This Row],[Transaction_Value]],0)</f>
        <v>546000</v>
      </c>
      <c r="Z65" s="24">
        <f>IF(WarehouseTransactions3[[#This Row],[Transaction_Type]]="Outbound",WarehouseTransactions3[[#This Row],[Transaction_Value]],0)</f>
        <v>0</v>
      </c>
    </row>
    <row r="66" spans="1:26" x14ac:dyDescent="0.3">
      <c r="A66" s="9" t="s">
        <v>134</v>
      </c>
      <c r="B66" s="10">
        <v>46135</v>
      </c>
      <c r="C66" s="9" t="s">
        <v>65</v>
      </c>
      <c r="D66" s="11" t="s">
        <v>66</v>
      </c>
      <c r="E66" s="9" t="s">
        <v>16</v>
      </c>
      <c r="F66" s="9" t="s">
        <v>31</v>
      </c>
      <c r="G66" s="12">
        <v>40</v>
      </c>
      <c r="H66" s="11" t="s">
        <v>18</v>
      </c>
      <c r="I66" s="9" t="s">
        <v>67</v>
      </c>
      <c r="J66" s="12">
        <v>12400</v>
      </c>
      <c r="K66" s="12">
        <v>0</v>
      </c>
      <c r="L66" s="13">
        <v>5.8</v>
      </c>
      <c r="M66" s="9" t="s">
        <v>20</v>
      </c>
      <c r="N66" s="22">
        <f>DATE(YEAR(WarehouseTransactions3[[#This Row],[Date]]),MONTH(WarehouseTransactions3[[#This Row],[Date]]),1)</f>
        <v>46113</v>
      </c>
      <c r="O66" s="24">
        <f>WarehouseTransactions3[[#This Row],[Quantity]]*WarehouseTransactions3[[#This Row],[Unit_Cost]]</f>
        <v>496000</v>
      </c>
      <c r="P66" s="25">
        <f>WarehouseTransactions3[[#This Row],[Quantity]]-WarehouseTransactions3[[#This Row],[Damaged_Qty]]</f>
        <v>40</v>
      </c>
      <c r="Q66">
        <f>IF(WarehouseTransactions3[[#This Row],[Transaction_Type]]="Inbound",WarehouseTransactions3[[#This Row],[Quantity]],-WarehouseTransactions3[[#This Row],[Quantity]])</f>
        <v>-40</v>
      </c>
      <c r="R66" s="26">
        <f>IFERROR(WarehouseTransactions3[[#This Row],[Damaged_Qty]]/WarehouseTransactions3[[#This Row],[Quantity]],0)</f>
        <v>0</v>
      </c>
      <c r="S66">
        <f>IF(WarehouseTransactions3[[#This Row],[Status]]="Delayed",1,0)</f>
        <v>0</v>
      </c>
      <c r="T66">
        <f>IF(WarehouseTransactions3[[#This Row],[Status]]="Pending",1,0)</f>
        <v>0</v>
      </c>
      <c r="U66" s="20">
        <f>IF(WarehouseTransactions3[[#This Row],[Processing_Time_Hours]]&gt;8,1,0)</f>
        <v>0</v>
      </c>
      <c r="V66" s="27">
        <f>WarehouseTransactions3[[#This Row],[Processing_Time_Hours]]/24</f>
        <v>0.24166666666666667</v>
      </c>
      <c r="W66" s="20">
        <f>IF(WarehouseTransactions3[[#This Row],[Transaction_Type]]="Inbound",WarehouseTransactions3[[#This Row],[Quantity]],0)</f>
        <v>0</v>
      </c>
      <c r="X66" s="20">
        <f>IF(WarehouseTransactions3[[#This Row],[Transaction_Type]]="Outbound",WarehouseTransactions3[[#This Row],[Quantity]],0)</f>
        <v>40</v>
      </c>
      <c r="Y66" s="24">
        <f>IF(WarehouseTransactions3[[#This Row],[Transaction_Type]]="Inbound",WarehouseTransactions3[[#This Row],[Transaction_Value]],0)</f>
        <v>0</v>
      </c>
      <c r="Z66" s="24">
        <f>IF(WarehouseTransactions3[[#This Row],[Transaction_Type]]="Outbound",WarehouseTransactions3[[#This Row],[Transaction_Value]],0)</f>
        <v>496000</v>
      </c>
    </row>
    <row r="67" spans="1:26" x14ac:dyDescent="0.3">
      <c r="A67" s="9" t="s">
        <v>135</v>
      </c>
      <c r="B67" s="10">
        <v>46136</v>
      </c>
      <c r="C67" s="9" t="s">
        <v>14</v>
      </c>
      <c r="D67" s="11" t="s">
        <v>15</v>
      </c>
      <c r="E67" s="9" t="s">
        <v>16</v>
      </c>
      <c r="F67" s="9" t="s">
        <v>17</v>
      </c>
      <c r="G67" s="12">
        <v>65</v>
      </c>
      <c r="H67" s="11" t="s">
        <v>18</v>
      </c>
      <c r="I67" s="9" t="s">
        <v>19</v>
      </c>
      <c r="J67" s="12">
        <v>6500</v>
      </c>
      <c r="K67" s="12">
        <v>0</v>
      </c>
      <c r="L67" s="13">
        <v>2.1</v>
      </c>
      <c r="M67" s="9" t="s">
        <v>20</v>
      </c>
      <c r="N67" s="22">
        <f>DATE(YEAR(WarehouseTransactions3[[#This Row],[Date]]),MONTH(WarehouseTransactions3[[#This Row],[Date]]),1)</f>
        <v>46113</v>
      </c>
      <c r="O67" s="24">
        <f>WarehouseTransactions3[[#This Row],[Quantity]]*WarehouseTransactions3[[#This Row],[Unit_Cost]]</f>
        <v>422500</v>
      </c>
      <c r="P67" s="25">
        <f>WarehouseTransactions3[[#This Row],[Quantity]]-WarehouseTransactions3[[#This Row],[Damaged_Qty]]</f>
        <v>65</v>
      </c>
      <c r="Q67">
        <f>IF(WarehouseTransactions3[[#This Row],[Transaction_Type]]="Inbound",WarehouseTransactions3[[#This Row],[Quantity]],-WarehouseTransactions3[[#This Row],[Quantity]])</f>
        <v>65</v>
      </c>
      <c r="R67" s="26">
        <f>IFERROR(WarehouseTransactions3[[#This Row],[Damaged_Qty]]/WarehouseTransactions3[[#This Row],[Quantity]],0)</f>
        <v>0</v>
      </c>
      <c r="S67">
        <f>IF(WarehouseTransactions3[[#This Row],[Status]]="Delayed",1,0)</f>
        <v>0</v>
      </c>
      <c r="T67">
        <f>IF(WarehouseTransactions3[[#This Row],[Status]]="Pending",1,0)</f>
        <v>0</v>
      </c>
      <c r="U67" s="20">
        <f>IF(WarehouseTransactions3[[#This Row],[Processing_Time_Hours]]&gt;8,1,0)</f>
        <v>0</v>
      </c>
      <c r="V67" s="27">
        <f>WarehouseTransactions3[[#This Row],[Processing_Time_Hours]]/24</f>
        <v>8.7500000000000008E-2</v>
      </c>
      <c r="W67" s="20">
        <f>IF(WarehouseTransactions3[[#This Row],[Transaction_Type]]="Inbound",WarehouseTransactions3[[#This Row],[Quantity]],0)</f>
        <v>65</v>
      </c>
      <c r="X67" s="20">
        <f>IF(WarehouseTransactions3[[#This Row],[Transaction_Type]]="Outbound",WarehouseTransactions3[[#This Row],[Quantity]],0)</f>
        <v>0</v>
      </c>
      <c r="Y67" s="24">
        <f>IF(WarehouseTransactions3[[#This Row],[Transaction_Type]]="Inbound",WarehouseTransactions3[[#This Row],[Transaction_Value]],0)</f>
        <v>422500</v>
      </c>
      <c r="Z67" s="24">
        <f>IF(WarehouseTransactions3[[#This Row],[Transaction_Type]]="Outbound",WarehouseTransactions3[[#This Row],[Transaction_Value]],0)</f>
        <v>0</v>
      </c>
    </row>
    <row r="68" spans="1:26" x14ac:dyDescent="0.3">
      <c r="A68" s="9" t="s">
        <v>136</v>
      </c>
      <c r="B68" s="10">
        <v>46139</v>
      </c>
      <c r="C68" s="9" t="s">
        <v>69</v>
      </c>
      <c r="D68" s="11" t="s">
        <v>70</v>
      </c>
      <c r="E68" s="9" t="s">
        <v>16</v>
      </c>
      <c r="F68" s="9" t="s">
        <v>31</v>
      </c>
      <c r="G68" s="12">
        <v>24</v>
      </c>
      <c r="H68" s="11" t="s">
        <v>18</v>
      </c>
      <c r="I68" s="9" t="s">
        <v>67</v>
      </c>
      <c r="J68" s="12">
        <v>7800</v>
      </c>
      <c r="K68" s="12">
        <v>0</v>
      </c>
      <c r="L68" s="13">
        <v>10.5</v>
      </c>
      <c r="M68" s="9" t="s">
        <v>43</v>
      </c>
      <c r="N68" s="22">
        <f>DATE(YEAR(WarehouseTransactions3[[#This Row],[Date]]),MONTH(WarehouseTransactions3[[#This Row],[Date]]),1)</f>
        <v>46113</v>
      </c>
      <c r="O68" s="24">
        <f>WarehouseTransactions3[[#This Row],[Quantity]]*WarehouseTransactions3[[#This Row],[Unit_Cost]]</f>
        <v>187200</v>
      </c>
      <c r="P68" s="25">
        <f>WarehouseTransactions3[[#This Row],[Quantity]]-WarehouseTransactions3[[#This Row],[Damaged_Qty]]</f>
        <v>24</v>
      </c>
      <c r="Q68">
        <f>IF(WarehouseTransactions3[[#This Row],[Transaction_Type]]="Inbound",WarehouseTransactions3[[#This Row],[Quantity]],-WarehouseTransactions3[[#This Row],[Quantity]])</f>
        <v>-24</v>
      </c>
      <c r="R68" s="26">
        <f>IFERROR(WarehouseTransactions3[[#This Row],[Damaged_Qty]]/WarehouseTransactions3[[#This Row],[Quantity]],0)</f>
        <v>0</v>
      </c>
      <c r="S68">
        <f>IF(WarehouseTransactions3[[#This Row],[Status]]="Delayed",1,0)</f>
        <v>0</v>
      </c>
      <c r="T68">
        <f>IF(WarehouseTransactions3[[#This Row],[Status]]="Pending",1,0)</f>
        <v>1</v>
      </c>
      <c r="U68" s="20">
        <f>IF(WarehouseTransactions3[[#This Row],[Processing_Time_Hours]]&gt;8,1,0)</f>
        <v>1</v>
      </c>
      <c r="V68" s="27">
        <f>WarehouseTransactions3[[#This Row],[Processing_Time_Hours]]/24</f>
        <v>0.4375</v>
      </c>
      <c r="W68" s="20">
        <f>IF(WarehouseTransactions3[[#This Row],[Transaction_Type]]="Inbound",WarehouseTransactions3[[#This Row],[Quantity]],0)</f>
        <v>0</v>
      </c>
      <c r="X68" s="20">
        <f>IF(WarehouseTransactions3[[#This Row],[Transaction_Type]]="Outbound",WarehouseTransactions3[[#This Row],[Quantity]],0)</f>
        <v>24</v>
      </c>
      <c r="Y68" s="24">
        <f>IF(WarehouseTransactions3[[#This Row],[Transaction_Type]]="Inbound",WarehouseTransactions3[[#This Row],[Transaction_Value]],0)</f>
        <v>0</v>
      </c>
      <c r="Z68" s="24">
        <f>IF(WarehouseTransactions3[[#This Row],[Transaction_Type]]="Outbound",WarehouseTransactions3[[#This Row],[Transaction_Value]],0)</f>
        <v>187200</v>
      </c>
    </row>
    <row r="69" spans="1:26" x14ac:dyDescent="0.3">
      <c r="A69" s="9" t="s">
        <v>137</v>
      </c>
      <c r="B69" s="10">
        <v>46145</v>
      </c>
      <c r="C69" s="9" t="s">
        <v>93</v>
      </c>
      <c r="D69" s="11" t="s">
        <v>94</v>
      </c>
      <c r="E69" s="9" t="s">
        <v>47</v>
      </c>
      <c r="F69" s="9" t="s">
        <v>17</v>
      </c>
      <c r="G69" s="12">
        <v>100</v>
      </c>
      <c r="H69" s="11" t="s">
        <v>48</v>
      </c>
      <c r="I69" s="9" t="s">
        <v>49</v>
      </c>
      <c r="J69" s="12">
        <v>14500</v>
      </c>
      <c r="K69" s="12">
        <v>2</v>
      </c>
      <c r="L69" s="13">
        <v>4</v>
      </c>
      <c r="M69" s="9" t="s">
        <v>20</v>
      </c>
      <c r="N69" s="22">
        <f>DATE(YEAR(WarehouseTransactions3[[#This Row],[Date]]),MONTH(WarehouseTransactions3[[#This Row],[Date]]),1)</f>
        <v>46143</v>
      </c>
      <c r="O69" s="24">
        <f>WarehouseTransactions3[[#This Row],[Quantity]]*WarehouseTransactions3[[#This Row],[Unit_Cost]]</f>
        <v>1450000</v>
      </c>
      <c r="P69" s="25">
        <f>WarehouseTransactions3[[#This Row],[Quantity]]-WarehouseTransactions3[[#This Row],[Damaged_Qty]]</f>
        <v>98</v>
      </c>
      <c r="Q69">
        <f>IF(WarehouseTransactions3[[#This Row],[Transaction_Type]]="Inbound",WarehouseTransactions3[[#This Row],[Quantity]],-WarehouseTransactions3[[#This Row],[Quantity]])</f>
        <v>100</v>
      </c>
      <c r="R69" s="26">
        <f>IFERROR(WarehouseTransactions3[[#This Row],[Damaged_Qty]]/WarehouseTransactions3[[#This Row],[Quantity]],0)</f>
        <v>0.02</v>
      </c>
      <c r="S69">
        <f>IF(WarehouseTransactions3[[#This Row],[Status]]="Delayed",1,0)</f>
        <v>0</v>
      </c>
      <c r="T69">
        <f>IF(WarehouseTransactions3[[#This Row],[Status]]="Pending",1,0)</f>
        <v>0</v>
      </c>
      <c r="U69" s="20">
        <f>IF(WarehouseTransactions3[[#This Row],[Processing_Time_Hours]]&gt;8,1,0)</f>
        <v>0</v>
      </c>
      <c r="V69" s="27">
        <f>WarehouseTransactions3[[#This Row],[Processing_Time_Hours]]/24</f>
        <v>0.16666666666666666</v>
      </c>
      <c r="W69" s="20">
        <f>IF(WarehouseTransactions3[[#This Row],[Transaction_Type]]="Inbound",WarehouseTransactions3[[#This Row],[Quantity]],0)</f>
        <v>100</v>
      </c>
      <c r="X69" s="20">
        <f>IF(WarehouseTransactions3[[#This Row],[Transaction_Type]]="Outbound",WarehouseTransactions3[[#This Row],[Quantity]],0)</f>
        <v>0</v>
      </c>
      <c r="Y69" s="24">
        <f>IF(WarehouseTransactions3[[#This Row],[Transaction_Type]]="Inbound",WarehouseTransactions3[[#This Row],[Transaction_Value]],0)</f>
        <v>1450000</v>
      </c>
      <c r="Z69" s="24">
        <f>IF(WarehouseTransactions3[[#This Row],[Transaction_Type]]="Outbound",WarehouseTransactions3[[#This Row],[Transaction_Value]],0)</f>
        <v>0</v>
      </c>
    </row>
    <row r="70" spans="1:26" x14ac:dyDescent="0.3">
      <c r="A70" s="9" t="s">
        <v>138</v>
      </c>
      <c r="B70" s="10">
        <v>46147</v>
      </c>
      <c r="C70" s="9" t="s">
        <v>100</v>
      </c>
      <c r="D70" s="11" t="s">
        <v>101</v>
      </c>
      <c r="E70" s="9" t="s">
        <v>30</v>
      </c>
      <c r="F70" s="9" t="s">
        <v>17</v>
      </c>
      <c r="G70" s="12">
        <v>16</v>
      </c>
      <c r="H70" s="11" t="s">
        <v>32</v>
      </c>
      <c r="I70" s="9" t="s">
        <v>67</v>
      </c>
      <c r="J70" s="12">
        <v>23800</v>
      </c>
      <c r="K70" s="12">
        <v>0</v>
      </c>
      <c r="L70" s="13">
        <v>10</v>
      </c>
      <c r="M70" s="9" t="s">
        <v>39</v>
      </c>
      <c r="N70" s="22">
        <f>DATE(YEAR(WarehouseTransactions3[[#This Row],[Date]]),MONTH(WarehouseTransactions3[[#This Row],[Date]]),1)</f>
        <v>46143</v>
      </c>
      <c r="O70" s="24">
        <f>WarehouseTransactions3[[#This Row],[Quantity]]*WarehouseTransactions3[[#This Row],[Unit_Cost]]</f>
        <v>380800</v>
      </c>
      <c r="P70" s="25">
        <f>WarehouseTransactions3[[#This Row],[Quantity]]-WarehouseTransactions3[[#This Row],[Damaged_Qty]]</f>
        <v>16</v>
      </c>
      <c r="Q70">
        <f>IF(WarehouseTransactions3[[#This Row],[Transaction_Type]]="Inbound",WarehouseTransactions3[[#This Row],[Quantity]],-WarehouseTransactions3[[#This Row],[Quantity]])</f>
        <v>16</v>
      </c>
      <c r="R70" s="26">
        <f>IFERROR(WarehouseTransactions3[[#This Row],[Damaged_Qty]]/WarehouseTransactions3[[#This Row],[Quantity]],0)</f>
        <v>0</v>
      </c>
      <c r="S70">
        <f>IF(WarehouseTransactions3[[#This Row],[Status]]="Delayed",1,0)</f>
        <v>1</v>
      </c>
      <c r="T70">
        <f>IF(WarehouseTransactions3[[#This Row],[Status]]="Pending",1,0)</f>
        <v>0</v>
      </c>
      <c r="U70" s="20">
        <f>IF(WarehouseTransactions3[[#This Row],[Processing_Time_Hours]]&gt;8,1,0)</f>
        <v>1</v>
      </c>
      <c r="V70" s="27">
        <f>WarehouseTransactions3[[#This Row],[Processing_Time_Hours]]/24</f>
        <v>0.41666666666666669</v>
      </c>
      <c r="W70" s="20">
        <f>IF(WarehouseTransactions3[[#This Row],[Transaction_Type]]="Inbound",WarehouseTransactions3[[#This Row],[Quantity]],0)</f>
        <v>16</v>
      </c>
      <c r="X70" s="20">
        <f>IF(WarehouseTransactions3[[#This Row],[Transaction_Type]]="Outbound",WarehouseTransactions3[[#This Row],[Quantity]],0)</f>
        <v>0</v>
      </c>
      <c r="Y70" s="24">
        <f>IF(WarehouseTransactions3[[#This Row],[Transaction_Type]]="Inbound",WarehouseTransactions3[[#This Row],[Transaction_Value]],0)</f>
        <v>380800</v>
      </c>
      <c r="Z70" s="24">
        <f>IF(WarehouseTransactions3[[#This Row],[Transaction_Type]]="Outbound",WarehouseTransactions3[[#This Row],[Transaction_Value]],0)</f>
        <v>0</v>
      </c>
    </row>
    <row r="71" spans="1:26" x14ac:dyDescent="0.3">
      <c r="A71" s="9" t="s">
        <v>139</v>
      </c>
      <c r="B71" s="10">
        <v>46148</v>
      </c>
      <c r="C71" s="9" t="s">
        <v>28</v>
      </c>
      <c r="D71" s="11" t="s">
        <v>29</v>
      </c>
      <c r="E71" s="9" t="s">
        <v>30</v>
      </c>
      <c r="F71" s="9" t="s">
        <v>31</v>
      </c>
      <c r="G71" s="12">
        <v>45</v>
      </c>
      <c r="H71" s="11" t="s">
        <v>32</v>
      </c>
      <c r="I71" s="9" t="s">
        <v>19</v>
      </c>
      <c r="J71" s="12">
        <v>68500</v>
      </c>
      <c r="K71" s="12">
        <v>0</v>
      </c>
      <c r="L71" s="13">
        <v>2.7</v>
      </c>
      <c r="M71" s="9" t="s">
        <v>20</v>
      </c>
      <c r="N71" s="22">
        <f>DATE(YEAR(WarehouseTransactions3[[#This Row],[Date]]),MONTH(WarehouseTransactions3[[#This Row],[Date]]),1)</f>
        <v>46143</v>
      </c>
      <c r="O71" s="24">
        <f>WarehouseTransactions3[[#This Row],[Quantity]]*WarehouseTransactions3[[#This Row],[Unit_Cost]]</f>
        <v>3082500</v>
      </c>
      <c r="P71" s="25">
        <f>WarehouseTransactions3[[#This Row],[Quantity]]-WarehouseTransactions3[[#This Row],[Damaged_Qty]]</f>
        <v>45</v>
      </c>
      <c r="Q71">
        <f>IF(WarehouseTransactions3[[#This Row],[Transaction_Type]]="Inbound",WarehouseTransactions3[[#This Row],[Quantity]],-WarehouseTransactions3[[#This Row],[Quantity]])</f>
        <v>-45</v>
      </c>
      <c r="R71" s="26">
        <f>IFERROR(WarehouseTransactions3[[#This Row],[Damaged_Qty]]/WarehouseTransactions3[[#This Row],[Quantity]],0)</f>
        <v>0</v>
      </c>
      <c r="S71">
        <f>IF(WarehouseTransactions3[[#This Row],[Status]]="Delayed",1,0)</f>
        <v>0</v>
      </c>
      <c r="T71">
        <f>IF(WarehouseTransactions3[[#This Row],[Status]]="Pending",1,0)</f>
        <v>0</v>
      </c>
      <c r="U71" s="20">
        <f>IF(WarehouseTransactions3[[#This Row],[Processing_Time_Hours]]&gt;8,1,0)</f>
        <v>0</v>
      </c>
      <c r="V71" s="27">
        <f>WarehouseTransactions3[[#This Row],[Processing_Time_Hours]]/24</f>
        <v>0.1125</v>
      </c>
      <c r="W71" s="20">
        <f>IF(WarehouseTransactions3[[#This Row],[Transaction_Type]]="Inbound",WarehouseTransactions3[[#This Row],[Quantity]],0)</f>
        <v>0</v>
      </c>
      <c r="X71" s="20">
        <f>IF(WarehouseTransactions3[[#This Row],[Transaction_Type]]="Outbound",WarehouseTransactions3[[#This Row],[Quantity]],0)</f>
        <v>45</v>
      </c>
      <c r="Y71" s="24">
        <f>IF(WarehouseTransactions3[[#This Row],[Transaction_Type]]="Inbound",WarehouseTransactions3[[#This Row],[Transaction_Value]],0)</f>
        <v>0</v>
      </c>
      <c r="Z71" s="24">
        <f>IF(WarehouseTransactions3[[#This Row],[Transaction_Type]]="Outbound",WarehouseTransactions3[[#This Row],[Transaction_Value]],0)</f>
        <v>3082500</v>
      </c>
    </row>
    <row r="72" spans="1:26" x14ac:dyDescent="0.3">
      <c r="A72" s="9" t="s">
        <v>140</v>
      </c>
      <c r="B72" s="10">
        <v>46149</v>
      </c>
      <c r="C72" s="9" t="s">
        <v>141</v>
      </c>
      <c r="D72" s="11" t="s">
        <v>142</v>
      </c>
      <c r="E72" s="9" t="s">
        <v>47</v>
      </c>
      <c r="F72" s="9" t="s">
        <v>17</v>
      </c>
      <c r="G72" s="12">
        <v>21</v>
      </c>
      <c r="H72" s="11" t="s">
        <v>48</v>
      </c>
      <c r="I72" s="9" t="s">
        <v>74</v>
      </c>
      <c r="J72" s="12">
        <v>9800</v>
      </c>
      <c r="K72" s="12">
        <v>0</v>
      </c>
      <c r="L72" s="13">
        <v>17</v>
      </c>
      <c r="M72" s="9" t="s">
        <v>39</v>
      </c>
      <c r="N72" s="22">
        <f>DATE(YEAR(WarehouseTransactions3[[#This Row],[Date]]),MONTH(WarehouseTransactions3[[#This Row],[Date]]),1)</f>
        <v>46143</v>
      </c>
      <c r="O72" s="24">
        <f>WarehouseTransactions3[[#This Row],[Quantity]]*WarehouseTransactions3[[#This Row],[Unit_Cost]]</f>
        <v>205800</v>
      </c>
      <c r="P72" s="25">
        <f>WarehouseTransactions3[[#This Row],[Quantity]]-WarehouseTransactions3[[#This Row],[Damaged_Qty]]</f>
        <v>21</v>
      </c>
      <c r="Q72">
        <f>IF(WarehouseTransactions3[[#This Row],[Transaction_Type]]="Inbound",WarehouseTransactions3[[#This Row],[Quantity]],-WarehouseTransactions3[[#This Row],[Quantity]])</f>
        <v>21</v>
      </c>
      <c r="R72" s="26">
        <f>IFERROR(WarehouseTransactions3[[#This Row],[Damaged_Qty]]/WarehouseTransactions3[[#This Row],[Quantity]],0)</f>
        <v>0</v>
      </c>
      <c r="S72">
        <f>IF(WarehouseTransactions3[[#This Row],[Status]]="Delayed",1,0)</f>
        <v>1</v>
      </c>
      <c r="T72">
        <f>IF(WarehouseTransactions3[[#This Row],[Status]]="Pending",1,0)</f>
        <v>0</v>
      </c>
      <c r="U72" s="20">
        <f>IF(WarehouseTransactions3[[#This Row],[Processing_Time_Hours]]&gt;8,1,0)</f>
        <v>1</v>
      </c>
      <c r="V72" s="27">
        <f>WarehouseTransactions3[[#This Row],[Processing_Time_Hours]]/24</f>
        <v>0.70833333333333337</v>
      </c>
      <c r="W72" s="20">
        <f>IF(WarehouseTransactions3[[#This Row],[Transaction_Type]]="Inbound",WarehouseTransactions3[[#This Row],[Quantity]],0)</f>
        <v>21</v>
      </c>
      <c r="X72" s="20">
        <f>IF(WarehouseTransactions3[[#This Row],[Transaction_Type]]="Outbound",WarehouseTransactions3[[#This Row],[Quantity]],0)</f>
        <v>0</v>
      </c>
      <c r="Y72" s="24">
        <f>IF(WarehouseTransactions3[[#This Row],[Transaction_Type]]="Inbound",WarehouseTransactions3[[#This Row],[Transaction_Value]],0)</f>
        <v>205800</v>
      </c>
      <c r="Z72" s="24">
        <f>IF(WarehouseTransactions3[[#This Row],[Transaction_Type]]="Outbound",WarehouseTransactions3[[#This Row],[Transaction_Value]],0)</f>
        <v>0</v>
      </c>
    </row>
    <row r="73" spans="1:26" x14ac:dyDescent="0.3">
      <c r="A73" s="9" t="s">
        <v>143</v>
      </c>
      <c r="B73" s="10">
        <v>46149</v>
      </c>
      <c r="C73" s="9" t="s">
        <v>61</v>
      </c>
      <c r="D73" s="11" t="s">
        <v>62</v>
      </c>
      <c r="E73" s="9" t="s">
        <v>36</v>
      </c>
      <c r="F73" s="9" t="s">
        <v>31</v>
      </c>
      <c r="G73" s="12">
        <v>44</v>
      </c>
      <c r="H73" s="11" t="s">
        <v>37</v>
      </c>
      <c r="I73" s="9" t="s">
        <v>63</v>
      </c>
      <c r="J73" s="12">
        <v>22400</v>
      </c>
      <c r="K73" s="12">
        <v>0</v>
      </c>
      <c r="L73" s="13">
        <v>6.3</v>
      </c>
      <c r="M73" s="9" t="s">
        <v>20</v>
      </c>
      <c r="N73" s="22">
        <f>DATE(YEAR(WarehouseTransactions3[[#This Row],[Date]]),MONTH(WarehouseTransactions3[[#This Row],[Date]]),1)</f>
        <v>46143</v>
      </c>
      <c r="O73" s="24">
        <f>WarehouseTransactions3[[#This Row],[Quantity]]*WarehouseTransactions3[[#This Row],[Unit_Cost]]</f>
        <v>985600</v>
      </c>
      <c r="P73" s="25">
        <f>WarehouseTransactions3[[#This Row],[Quantity]]-WarehouseTransactions3[[#This Row],[Damaged_Qty]]</f>
        <v>44</v>
      </c>
      <c r="Q73">
        <f>IF(WarehouseTransactions3[[#This Row],[Transaction_Type]]="Inbound",WarehouseTransactions3[[#This Row],[Quantity]],-WarehouseTransactions3[[#This Row],[Quantity]])</f>
        <v>-44</v>
      </c>
      <c r="R73" s="26">
        <f>IFERROR(WarehouseTransactions3[[#This Row],[Damaged_Qty]]/WarehouseTransactions3[[#This Row],[Quantity]],0)</f>
        <v>0</v>
      </c>
      <c r="S73">
        <f>IF(WarehouseTransactions3[[#This Row],[Status]]="Delayed",1,0)</f>
        <v>0</v>
      </c>
      <c r="T73">
        <f>IF(WarehouseTransactions3[[#This Row],[Status]]="Pending",1,0)</f>
        <v>0</v>
      </c>
      <c r="U73" s="20">
        <f>IF(WarehouseTransactions3[[#This Row],[Processing_Time_Hours]]&gt;8,1,0)</f>
        <v>0</v>
      </c>
      <c r="V73" s="27">
        <f>WarehouseTransactions3[[#This Row],[Processing_Time_Hours]]/24</f>
        <v>0.26250000000000001</v>
      </c>
      <c r="W73" s="20">
        <f>IF(WarehouseTransactions3[[#This Row],[Transaction_Type]]="Inbound",WarehouseTransactions3[[#This Row],[Quantity]],0)</f>
        <v>0</v>
      </c>
      <c r="X73" s="20">
        <f>IF(WarehouseTransactions3[[#This Row],[Transaction_Type]]="Outbound",WarehouseTransactions3[[#This Row],[Quantity]],0)</f>
        <v>44</v>
      </c>
      <c r="Y73" s="24">
        <f>IF(WarehouseTransactions3[[#This Row],[Transaction_Type]]="Inbound",WarehouseTransactions3[[#This Row],[Transaction_Value]],0)</f>
        <v>0</v>
      </c>
      <c r="Z73" s="24">
        <f>IF(WarehouseTransactions3[[#This Row],[Transaction_Type]]="Outbound",WarehouseTransactions3[[#This Row],[Transaction_Value]],0)</f>
        <v>985600</v>
      </c>
    </row>
    <row r="74" spans="1:26" x14ac:dyDescent="0.3">
      <c r="A74" s="9" t="s">
        <v>144</v>
      </c>
      <c r="B74" s="10">
        <v>46149</v>
      </c>
      <c r="C74" s="9" t="s">
        <v>115</v>
      </c>
      <c r="D74" s="11" t="s">
        <v>116</v>
      </c>
      <c r="E74" s="9" t="s">
        <v>36</v>
      </c>
      <c r="F74" s="9" t="s">
        <v>31</v>
      </c>
      <c r="G74" s="12">
        <v>22</v>
      </c>
      <c r="H74" s="11" t="s">
        <v>37</v>
      </c>
      <c r="I74" s="9" t="s">
        <v>63</v>
      </c>
      <c r="J74" s="12">
        <v>16800</v>
      </c>
      <c r="K74" s="12">
        <v>0</v>
      </c>
      <c r="L74" s="13">
        <v>4.5</v>
      </c>
      <c r="M74" s="9" t="s">
        <v>20</v>
      </c>
      <c r="N74" s="22">
        <f>DATE(YEAR(WarehouseTransactions3[[#This Row],[Date]]),MONTH(WarehouseTransactions3[[#This Row],[Date]]),1)</f>
        <v>46143</v>
      </c>
      <c r="O74" s="24">
        <f>WarehouseTransactions3[[#This Row],[Quantity]]*WarehouseTransactions3[[#This Row],[Unit_Cost]]</f>
        <v>369600</v>
      </c>
      <c r="P74" s="25">
        <f>WarehouseTransactions3[[#This Row],[Quantity]]-WarehouseTransactions3[[#This Row],[Damaged_Qty]]</f>
        <v>22</v>
      </c>
      <c r="Q74">
        <f>IF(WarehouseTransactions3[[#This Row],[Transaction_Type]]="Inbound",WarehouseTransactions3[[#This Row],[Quantity]],-WarehouseTransactions3[[#This Row],[Quantity]])</f>
        <v>-22</v>
      </c>
      <c r="R74" s="26">
        <f>IFERROR(WarehouseTransactions3[[#This Row],[Damaged_Qty]]/WarehouseTransactions3[[#This Row],[Quantity]],0)</f>
        <v>0</v>
      </c>
      <c r="S74">
        <f>IF(WarehouseTransactions3[[#This Row],[Status]]="Delayed",1,0)</f>
        <v>0</v>
      </c>
      <c r="T74">
        <f>IF(WarehouseTransactions3[[#This Row],[Status]]="Pending",1,0)</f>
        <v>0</v>
      </c>
      <c r="U74" s="20">
        <f>IF(WarehouseTransactions3[[#This Row],[Processing_Time_Hours]]&gt;8,1,0)</f>
        <v>0</v>
      </c>
      <c r="V74" s="27">
        <f>WarehouseTransactions3[[#This Row],[Processing_Time_Hours]]/24</f>
        <v>0.1875</v>
      </c>
      <c r="W74" s="20">
        <f>IF(WarehouseTransactions3[[#This Row],[Transaction_Type]]="Inbound",WarehouseTransactions3[[#This Row],[Quantity]],0)</f>
        <v>0</v>
      </c>
      <c r="X74" s="20">
        <f>IF(WarehouseTransactions3[[#This Row],[Transaction_Type]]="Outbound",WarehouseTransactions3[[#This Row],[Quantity]],0)</f>
        <v>22</v>
      </c>
      <c r="Y74" s="24">
        <f>IF(WarehouseTransactions3[[#This Row],[Transaction_Type]]="Inbound",WarehouseTransactions3[[#This Row],[Transaction_Value]],0)</f>
        <v>0</v>
      </c>
      <c r="Z74" s="24">
        <f>IF(WarehouseTransactions3[[#This Row],[Transaction_Type]]="Outbound",WarehouseTransactions3[[#This Row],[Transaction_Value]],0)</f>
        <v>369600</v>
      </c>
    </row>
    <row r="75" spans="1:26" x14ac:dyDescent="0.3">
      <c r="A75" s="9" t="s">
        <v>145</v>
      </c>
      <c r="B75" s="10">
        <v>46152</v>
      </c>
      <c r="C75" s="9" t="s">
        <v>115</v>
      </c>
      <c r="D75" s="11" t="s">
        <v>116</v>
      </c>
      <c r="E75" s="9" t="s">
        <v>36</v>
      </c>
      <c r="F75" s="9" t="s">
        <v>31</v>
      </c>
      <c r="G75" s="12">
        <v>23</v>
      </c>
      <c r="H75" s="11" t="s">
        <v>37</v>
      </c>
      <c r="I75" s="9" t="s">
        <v>63</v>
      </c>
      <c r="J75" s="12">
        <v>16800</v>
      </c>
      <c r="K75" s="12">
        <v>0</v>
      </c>
      <c r="L75" s="13">
        <v>5.2</v>
      </c>
      <c r="M75" s="9" t="s">
        <v>20</v>
      </c>
      <c r="N75" s="22">
        <f>DATE(YEAR(WarehouseTransactions3[[#This Row],[Date]]),MONTH(WarehouseTransactions3[[#This Row],[Date]]),1)</f>
        <v>46143</v>
      </c>
      <c r="O75" s="24">
        <f>WarehouseTransactions3[[#This Row],[Quantity]]*WarehouseTransactions3[[#This Row],[Unit_Cost]]</f>
        <v>386400</v>
      </c>
      <c r="P75" s="25">
        <f>WarehouseTransactions3[[#This Row],[Quantity]]-WarehouseTransactions3[[#This Row],[Damaged_Qty]]</f>
        <v>23</v>
      </c>
      <c r="Q75">
        <f>IF(WarehouseTransactions3[[#This Row],[Transaction_Type]]="Inbound",WarehouseTransactions3[[#This Row],[Quantity]],-WarehouseTransactions3[[#This Row],[Quantity]])</f>
        <v>-23</v>
      </c>
      <c r="R75" s="26">
        <f>IFERROR(WarehouseTransactions3[[#This Row],[Damaged_Qty]]/WarehouseTransactions3[[#This Row],[Quantity]],0)</f>
        <v>0</v>
      </c>
      <c r="S75">
        <f>IF(WarehouseTransactions3[[#This Row],[Status]]="Delayed",1,0)</f>
        <v>0</v>
      </c>
      <c r="T75">
        <f>IF(WarehouseTransactions3[[#This Row],[Status]]="Pending",1,0)</f>
        <v>0</v>
      </c>
      <c r="U75" s="20">
        <f>IF(WarehouseTransactions3[[#This Row],[Processing_Time_Hours]]&gt;8,1,0)</f>
        <v>0</v>
      </c>
      <c r="V75" s="27">
        <f>WarehouseTransactions3[[#This Row],[Processing_Time_Hours]]/24</f>
        <v>0.21666666666666667</v>
      </c>
      <c r="W75" s="20">
        <f>IF(WarehouseTransactions3[[#This Row],[Transaction_Type]]="Inbound",WarehouseTransactions3[[#This Row],[Quantity]],0)</f>
        <v>0</v>
      </c>
      <c r="X75" s="20">
        <f>IF(WarehouseTransactions3[[#This Row],[Transaction_Type]]="Outbound",WarehouseTransactions3[[#This Row],[Quantity]],0)</f>
        <v>23</v>
      </c>
      <c r="Y75" s="24">
        <f>IF(WarehouseTransactions3[[#This Row],[Transaction_Type]]="Inbound",WarehouseTransactions3[[#This Row],[Transaction_Value]],0)</f>
        <v>0</v>
      </c>
      <c r="Z75" s="24">
        <f>IF(WarehouseTransactions3[[#This Row],[Transaction_Type]]="Outbound",WarehouseTransactions3[[#This Row],[Transaction_Value]],0)</f>
        <v>386400</v>
      </c>
    </row>
    <row r="76" spans="1:26" x14ac:dyDescent="0.3">
      <c r="A76" s="9" t="s">
        <v>146</v>
      </c>
      <c r="B76" s="10">
        <v>46153</v>
      </c>
      <c r="C76" s="9" t="s">
        <v>69</v>
      </c>
      <c r="D76" s="11" t="s">
        <v>70</v>
      </c>
      <c r="E76" s="9" t="s">
        <v>16</v>
      </c>
      <c r="F76" s="9" t="s">
        <v>31</v>
      </c>
      <c r="G76" s="12">
        <v>44</v>
      </c>
      <c r="H76" s="11" t="s">
        <v>18</v>
      </c>
      <c r="I76" s="9" t="s">
        <v>67</v>
      </c>
      <c r="J76" s="12">
        <v>7800</v>
      </c>
      <c r="K76" s="12">
        <v>0</v>
      </c>
      <c r="L76" s="13">
        <v>3.8</v>
      </c>
      <c r="M76" s="9" t="s">
        <v>20</v>
      </c>
      <c r="N76" s="22">
        <f>DATE(YEAR(WarehouseTransactions3[[#This Row],[Date]]),MONTH(WarehouseTransactions3[[#This Row],[Date]]),1)</f>
        <v>46143</v>
      </c>
      <c r="O76" s="24">
        <f>WarehouseTransactions3[[#This Row],[Quantity]]*WarehouseTransactions3[[#This Row],[Unit_Cost]]</f>
        <v>343200</v>
      </c>
      <c r="P76" s="25">
        <f>WarehouseTransactions3[[#This Row],[Quantity]]-WarehouseTransactions3[[#This Row],[Damaged_Qty]]</f>
        <v>44</v>
      </c>
      <c r="Q76">
        <f>IF(WarehouseTransactions3[[#This Row],[Transaction_Type]]="Inbound",WarehouseTransactions3[[#This Row],[Quantity]],-WarehouseTransactions3[[#This Row],[Quantity]])</f>
        <v>-44</v>
      </c>
      <c r="R76" s="26">
        <f>IFERROR(WarehouseTransactions3[[#This Row],[Damaged_Qty]]/WarehouseTransactions3[[#This Row],[Quantity]],0)</f>
        <v>0</v>
      </c>
      <c r="S76">
        <f>IF(WarehouseTransactions3[[#This Row],[Status]]="Delayed",1,0)</f>
        <v>0</v>
      </c>
      <c r="T76">
        <f>IF(WarehouseTransactions3[[#This Row],[Status]]="Pending",1,0)</f>
        <v>0</v>
      </c>
      <c r="U76" s="20">
        <f>IF(WarehouseTransactions3[[#This Row],[Processing_Time_Hours]]&gt;8,1,0)</f>
        <v>0</v>
      </c>
      <c r="V76" s="27">
        <f>WarehouseTransactions3[[#This Row],[Processing_Time_Hours]]/24</f>
        <v>0.15833333333333333</v>
      </c>
      <c r="W76" s="20">
        <f>IF(WarehouseTransactions3[[#This Row],[Transaction_Type]]="Inbound",WarehouseTransactions3[[#This Row],[Quantity]],0)</f>
        <v>0</v>
      </c>
      <c r="X76" s="20">
        <f>IF(WarehouseTransactions3[[#This Row],[Transaction_Type]]="Outbound",WarehouseTransactions3[[#This Row],[Quantity]],0)</f>
        <v>44</v>
      </c>
      <c r="Y76" s="24">
        <f>IF(WarehouseTransactions3[[#This Row],[Transaction_Type]]="Inbound",WarehouseTransactions3[[#This Row],[Transaction_Value]],0)</f>
        <v>0</v>
      </c>
      <c r="Z76" s="24">
        <f>IF(WarehouseTransactions3[[#This Row],[Transaction_Type]]="Outbound",WarehouseTransactions3[[#This Row],[Transaction_Value]],0)</f>
        <v>343200</v>
      </c>
    </row>
    <row r="77" spans="1:26" x14ac:dyDescent="0.3">
      <c r="A77" s="9" t="s">
        <v>147</v>
      </c>
      <c r="B77" s="10">
        <v>46154</v>
      </c>
      <c r="C77" s="9" t="s">
        <v>22</v>
      </c>
      <c r="D77" s="11" t="s">
        <v>23</v>
      </c>
      <c r="E77" s="9" t="s">
        <v>24</v>
      </c>
      <c r="F77" s="9" t="s">
        <v>31</v>
      </c>
      <c r="G77" s="12">
        <v>20</v>
      </c>
      <c r="H77" s="11" t="s">
        <v>25</v>
      </c>
      <c r="I77" s="9" t="s">
        <v>26</v>
      </c>
      <c r="J77" s="12">
        <v>11200</v>
      </c>
      <c r="K77" s="12">
        <v>0</v>
      </c>
      <c r="L77" s="13">
        <v>3.3</v>
      </c>
      <c r="M77" s="9" t="s">
        <v>20</v>
      </c>
      <c r="N77" s="22">
        <f>DATE(YEAR(WarehouseTransactions3[[#This Row],[Date]]),MONTH(WarehouseTransactions3[[#This Row],[Date]]),1)</f>
        <v>46143</v>
      </c>
      <c r="O77" s="24">
        <f>WarehouseTransactions3[[#This Row],[Quantity]]*WarehouseTransactions3[[#This Row],[Unit_Cost]]</f>
        <v>224000</v>
      </c>
      <c r="P77" s="25">
        <f>WarehouseTransactions3[[#This Row],[Quantity]]-WarehouseTransactions3[[#This Row],[Damaged_Qty]]</f>
        <v>20</v>
      </c>
      <c r="Q77">
        <f>IF(WarehouseTransactions3[[#This Row],[Transaction_Type]]="Inbound",WarehouseTransactions3[[#This Row],[Quantity]],-WarehouseTransactions3[[#This Row],[Quantity]])</f>
        <v>-20</v>
      </c>
      <c r="R77" s="26">
        <f>IFERROR(WarehouseTransactions3[[#This Row],[Damaged_Qty]]/WarehouseTransactions3[[#This Row],[Quantity]],0)</f>
        <v>0</v>
      </c>
      <c r="S77">
        <f>IF(WarehouseTransactions3[[#This Row],[Status]]="Delayed",1,0)</f>
        <v>0</v>
      </c>
      <c r="T77">
        <f>IF(WarehouseTransactions3[[#This Row],[Status]]="Pending",1,0)</f>
        <v>0</v>
      </c>
      <c r="U77" s="20">
        <f>IF(WarehouseTransactions3[[#This Row],[Processing_Time_Hours]]&gt;8,1,0)</f>
        <v>0</v>
      </c>
      <c r="V77" s="27">
        <f>WarehouseTransactions3[[#This Row],[Processing_Time_Hours]]/24</f>
        <v>0.13749999999999998</v>
      </c>
      <c r="W77" s="20">
        <f>IF(WarehouseTransactions3[[#This Row],[Transaction_Type]]="Inbound",WarehouseTransactions3[[#This Row],[Quantity]],0)</f>
        <v>0</v>
      </c>
      <c r="X77" s="20">
        <f>IF(WarehouseTransactions3[[#This Row],[Transaction_Type]]="Outbound",WarehouseTransactions3[[#This Row],[Quantity]],0)</f>
        <v>20</v>
      </c>
      <c r="Y77" s="24">
        <f>IF(WarehouseTransactions3[[#This Row],[Transaction_Type]]="Inbound",WarehouseTransactions3[[#This Row],[Transaction_Value]],0)</f>
        <v>0</v>
      </c>
      <c r="Z77" s="24">
        <f>IF(WarehouseTransactions3[[#This Row],[Transaction_Type]]="Outbound",WarehouseTransactions3[[#This Row],[Transaction_Value]],0)</f>
        <v>224000</v>
      </c>
    </row>
    <row r="78" spans="1:26" x14ac:dyDescent="0.3">
      <c r="A78" s="9" t="s">
        <v>148</v>
      </c>
      <c r="B78" s="10">
        <v>46156</v>
      </c>
      <c r="C78" s="9" t="s">
        <v>115</v>
      </c>
      <c r="D78" s="11" t="s">
        <v>116</v>
      </c>
      <c r="E78" s="9" t="s">
        <v>36</v>
      </c>
      <c r="F78" s="9" t="s">
        <v>17</v>
      </c>
      <c r="G78" s="12">
        <v>19</v>
      </c>
      <c r="H78" s="11" t="s">
        <v>37</v>
      </c>
      <c r="I78" s="9" t="s">
        <v>63</v>
      </c>
      <c r="J78" s="12">
        <v>16800</v>
      </c>
      <c r="K78" s="12">
        <v>0</v>
      </c>
      <c r="L78" s="13">
        <v>5.8</v>
      </c>
      <c r="M78" s="9" t="s">
        <v>20</v>
      </c>
      <c r="N78" s="22">
        <f>DATE(YEAR(WarehouseTransactions3[[#This Row],[Date]]),MONTH(WarehouseTransactions3[[#This Row],[Date]]),1)</f>
        <v>46143</v>
      </c>
      <c r="O78" s="24">
        <f>WarehouseTransactions3[[#This Row],[Quantity]]*WarehouseTransactions3[[#This Row],[Unit_Cost]]</f>
        <v>319200</v>
      </c>
      <c r="P78" s="25">
        <f>WarehouseTransactions3[[#This Row],[Quantity]]-WarehouseTransactions3[[#This Row],[Damaged_Qty]]</f>
        <v>19</v>
      </c>
      <c r="Q78">
        <f>IF(WarehouseTransactions3[[#This Row],[Transaction_Type]]="Inbound",WarehouseTransactions3[[#This Row],[Quantity]],-WarehouseTransactions3[[#This Row],[Quantity]])</f>
        <v>19</v>
      </c>
      <c r="R78" s="26">
        <f>IFERROR(WarehouseTransactions3[[#This Row],[Damaged_Qty]]/WarehouseTransactions3[[#This Row],[Quantity]],0)</f>
        <v>0</v>
      </c>
      <c r="S78">
        <f>IF(WarehouseTransactions3[[#This Row],[Status]]="Delayed",1,0)</f>
        <v>0</v>
      </c>
      <c r="T78">
        <f>IF(WarehouseTransactions3[[#This Row],[Status]]="Pending",1,0)</f>
        <v>0</v>
      </c>
      <c r="U78" s="20">
        <f>IF(WarehouseTransactions3[[#This Row],[Processing_Time_Hours]]&gt;8,1,0)</f>
        <v>0</v>
      </c>
      <c r="V78" s="27">
        <f>WarehouseTransactions3[[#This Row],[Processing_Time_Hours]]/24</f>
        <v>0.24166666666666667</v>
      </c>
      <c r="W78" s="20">
        <f>IF(WarehouseTransactions3[[#This Row],[Transaction_Type]]="Inbound",WarehouseTransactions3[[#This Row],[Quantity]],0)</f>
        <v>19</v>
      </c>
      <c r="X78" s="20">
        <f>IF(WarehouseTransactions3[[#This Row],[Transaction_Type]]="Outbound",WarehouseTransactions3[[#This Row],[Quantity]],0)</f>
        <v>0</v>
      </c>
      <c r="Y78" s="24">
        <f>IF(WarehouseTransactions3[[#This Row],[Transaction_Type]]="Inbound",WarehouseTransactions3[[#This Row],[Transaction_Value]],0)</f>
        <v>319200</v>
      </c>
      <c r="Z78" s="24">
        <f>IF(WarehouseTransactions3[[#This Row],[Transaction_Type]]="Outbound",WarehouseTransactions3[[#This Row],[Transaction_Value]],0)</f>
        <v>0</v>
      </c>
    </row>
    <row r="79" spans="1:26" x14ac:dyDescent="0.3">
      <c r="A79" s="9" t="s">
        <v>149</v>
      </c>
      <c r="B79" s="10">
        <v>46156</v>
      </c>
      <c r="C79" s="9" t="s">
        <v>72</v>
      </c>
      <c r="D79" s="11" t="s">
        <v>73</v>
      </c>
      <c r="E79" s="9" t="s">
        <v>47</v>
      </c>
      <c r="F79" s="9" t="s">
        <v>17</v>
      </c>
      <c r="G79" s="12">
        <v>71</v>
      </c>
      <c r="H79" s="11" t="s">
        <v>48</v>
      </c>
      <c r="I79" s="9" t="s">
        <v>74</v>
      </c>
      <c r="J79" s="12">
        <v>3100</v>
      </c>
      <c r="K79" s="12">
        <v>0</v>
      </c>
      <c r="L79" s="13">
        <v>4.2</v>
      </c>
      <c r="M79" s="9" t="s">
        <v>20</v>
      </c>
      <c r="N79" s="22">
        <f>DATE(YEAR(WarehouseTransactions3[[#This Row],[Date]]),MONTH(WarehouseTransactions3[[#This Row],[Date]]),1)</f>
        <v>46143</v>
      </c>
      <c r="O79" s="24">
        <f>WarehouseTransactions3[[#This Row],[Quantity]]*WarehouseTransactions3[[#This Row],[Unit_Cost]]</f>
        <v>220100</v>
      </c>
      <c r="P79" s="25">
        <f>WarehouseTransactions3[[#This Row],[Quantity]]-WarehouseTransactions3[[#This Row],[Damaged_Qty]]</f>
        <v>71</v>
      </c>
      <c r="Q79">
        <f>IF(WarehouseTransactions3[[#This Row],[Transaction_Type]]="Inbound",WarehouseTransactions3[[#This Row],[Quantity]],-WarehouseTransactions3[[#This Row],[Quantity]])</f>
        <v>71</v>
      </c>
      <c r="R79" s="26">
        <f>IFERROR(WarehouseTransactions3[[#This Row],[Damaged_Qty]]/WarehouseTransactions3[[#This Row],[Quantity]],0)</f>
        <v>0</v>
      </c>
      <c r="S79">
        <f>IF(WarehouseTransactions3[[#This Row],[Status]]="Delayed",1,0)</f>
        <v>0</v>
      </c>
      <c r="T79">
        <f>IF(WarehouseTransactions3[[#This Row],[Status]]="Pending",1,0)</f>
        <v>0</v>
      </c>
      <c r="U79" s="20">
        <f>IF(WarehouseTransactions3[[#This Row],[Processing_Time_Hours]]&gt;8,1,0)</f>
        <v>0</v>
      </c>
      <c r="V79" s="27">
        <f>WarehouseTransactions3[[#This Row],[Processing_Time_Hours]]/24</f>
        <v>0.17500000000000002</v>
      </c>
      <c r="W79" s="20">
        <f>IF(WarehouseTransactions3[[#This Row],[Transaction_Type]]="Inbound",WarehouseTransactions3[[#This Row],[Quantity]],0)</f>
        <v>71</v>
      </c>
      <c r="X79" s="20">
        <f>IF(WarehouseTransactions3[[#This Row],[Transaction_Type]]="Outbound",WarehouseTransactions3[[#This Row],[Quantity]],0)</f>
        <v>0</v>
      </c>
      <c r="Y79" s="24">
        <f>IF(WarehouseTransactions3[[#This Row],[Transaction_Type]]="Inbound",WarehouseTransactions3[[#This Row],[Transaction_Value]],0)</f>
        <v>220100</v>
      </c>
      <c r="Z79" s="24">
        <f>IF(WarehouseTransactions3[[#This Row],[Transaction_Type]]="Outbound",WarehouseTransactions3[[#This Row],[Transaction_Value]],0)</f>
        <v>0</v>
      </c>
    </row>
    <row r="80" spans="1:26" x14ac:dyDescent="0.3">
      <c r="A80" s="9" t="s">
        <v>150</v>
      </c>
      <c r="B80" s="10">
        <v>46159</v>
      </c>
      <c r="C80" s="9" t="s">
        <v>65</v>
      </c>
      <c r="D80" s="11" t="s">
        <v>66</v>
      </c>
      <c r="E80" s="9" t="s">
        <v>16</v>
      </c>
      <c r="F80" s="9" t="s">
        <v>31</v>
      </c>
      <c r="G80" s="12">
        <v>89</v>
      </c>
      <c r="H80" s="11" t="s">
        <v>18</v>
      </c>
      <c r="I80" s="9" t="s">
        <v>67</v>
      </c>
      <c r="J80" s="12">
        <v>12400</v>
      </c>
      <c r="K80" s="12">
        <v>0</v>
      </c>
      <c r="L80" s="13">
        <v>15</v>
      </c>
      <c r="M80" s="9" t="s">
        <v>39</v>
      </c>
      <c r="N80" s="22">
        <f>DATE(YEAR(WarehouseTransactions3[[#This Row],[Date]]),MONTH(WarehouseTransactions3[[#This Row],[Date]]),1)</f>
        <v>46143</v>
      </c>
      <c r="O80" s="24">
        <f>WarehouseTransactions3[[#This Row],[Quantity]]*WarehouseTransactions3[[#This Row],[Unit_Cost]]</f>
        <v>1103600</v>
      </c>
      <c r="P80" s="25">
        <f>WarehouseTransactions3[[#This Row],[Quantity]]-WarehouseTransactions3[[#This Row],[Damaged_Qty]]</f>
        <v>89</v>
      </c>
      <c r="Q80">
        <f>IF(WarehouseTransactions3[[#This Row],[Transaction_Type]]="Inbound",WarehouseTransactions3[[#This Row],[Quantity]],-WarehouseTransactions3[[#This Row],[Quantity]])</f>
        <v>-89</v>
      </c>
      <c r="R80" s="26">
        <f>IFERROR(WarehouseTransactions3[[#This Row],[Damaged_Qty]]/WarehouseTransactions3[[#This Row],[Quantity]],0)</f>
        <v>0</v>
      </c>
      <c r="S80">
        <f>IF(WarehouseTransactions3[[#This Row],[Status]]="Delayed",1,0)</f>
        <v>1</v>
      </c>
      <c r="T80">
        <f>IF(WarehouseTransactions3[[#This Row],[Status]]="Pending",1,0)</f>
        <v>0</v>
      </c>
      <c r="U80" s="20">
        <f>IF(WarehouseTransactions3[[#This Row],[Processing_Time_Hours]]&gt;8,1,0)</f>
        <v>1</v>
      </c>
      <c r="V80" s="27">
        <f>WarehouseTransactions3[[#This Row],[Processing_Time_Hours]]/24</f>
        <v>0.625</v>
      </c>
      <c r="W80" s="20">
        <f>IF(WarehouseTransactions3[[#This Row],[Transaction_Type]]="Inbound",WarehouseTransactions3[[#This Row],[Quantity]],0)</f>
        <v>0</v>
      </c>
      <c r="X80" s="20">
        <f>IF(WarehouseTransactions3[[#This Row],[Transaction_Type]]="Outbound",WarehouseTransactions3[[#This Row],[Quantity]],0)</f>
        <v>89</v>
      </c>
      <c r="Y80" s="24">
        <f>IF(WarehouseTransactions3[[#This Row],[Transaction_Type]]="Inbound",WarehouseTransactions3[[#This Row],[Transaction_Value]],0)</f>
        <v>0</v>
      </c>
      <c r="Z80" s="24">
        <f>IF(WarehouseTransactions3[[#This Row],[Transaction_Type]]="Outbound",WarehouseTransactions3[[#This Row],[Transaction_Value]],0)</f>
        <v>1103600</v>
      </c>
    </row>
    <row r="81" spans="1:26" x14ac:dyDescent="0.3">
      <c r="A81" s="9" t="s">
        <v>151</v>
      </c>
      <c r="B81" s="10">
        <v>46164</v>
      </c>
      <c r="C81" s="9" t="s">
        <v>14</v>
      </c>
      <c r="D81" s="11" t="s">
        <v>15</v>
      </c>
      <c r="E81" s="9" t="s">
        <v>16</v>
      </c>
      <c r="F81" s="9" t="s">
        <v>31</v>
      </c>
      <c r="G81" s="12">
        <v>72</v>
      </c>
      <c r="H81" s="11" t="s">
        <v>18</v>
      </c>
      <c r="I81" s="9" t="s">
        <v>19</v>
      </c>
      <c r="J81" s="12">
        <v>6500</v>
      </c>
      <c r="K81" s="12">
        <v>0</v>
      </c>
      <c r="L81" s="13">
        <v>2.7</v>
      </c>
      <c r="M81" s="9" t="s">
        <v>20</v>
      </c>
      <c r="N81" s="22">
        <f>DATE(YEAR(WarehouseTransactions3[[#This Row],[Date]]),MONTH(WarehouseTransactions3[[#This Row],[Date]]),1)</f>
        <v>46143</v>
      </c>
      <c r="O81" s="24">
        <f>WarehouseTransactions3[[#This Row],[Quantity]]*WarehouseTransactions3[[#This Row],[Unit_Cost]]</f>
        <v>468000</v>
      </c>
      <c r="P81" s="25">
        <f>WarehouseTransactions3[[#This Row],[Quantity]]-WarehouseTransactions3[[#This Row],[Damaged_Qty]]</f>
        <v>72</v>
      </c>
      <c r="Q81">
        <f>IF(WarehouseTransactions3[[#This Row],[Transaction_Type]]="Inbound",WarehouseTransactions3[[#This Row],[Quantity]],-WarehouseTransactions3[[#This Row],[Quantity]])</f>
        <v>-72</v>
      </c>
      <c r="R81" s="26">
        <f>IFERROR(WarehouseTransactions3[[#This Row],[Damaged_Qty]]/WarehouseTransactions3[[#This Row],[Quantity]],0)</f>
        <v>0</v>
      </c>
      <c r="S81">
        <f>IF(WarehouseTransactions3[[#This Row],[Status]]="Delayed",1,0)</f>
        <v>0</v>
      </c>
      <c r="T81">
        <f>IF(WarehouseTransactions3[[#This Row],[Status]]="Pending",1,0)</f>
        <v>0</v>
      </c>
      <c r="U81" s="20">
        <f>IF(WarehouseTransactions3[[#This Row],[Processing_Time_Hours]]&gt;8,1,0)</f>
        <v>0</v>
      </c>
      <c r="V81" s="27">
        <f>WarehouseTransactions3[[#This Row],[Processing_Time_Hours]]/24</f>
        <v>0.1125</v>
      </c>
      <c r="W81" s="20">
        <f>IF(WarehouseTransactions3[[#This Row],[Transaction_Type]]="Inbound",WarehouseTransactions3[[#This Row],[Quantity]],0)</f>
        <v>0</v>
      </c>
      <c r="X81" s="20">
        <f>IF(WarehouseTransactions3[[#This Row],[Transaction_Type]]="Outbound",WarehouseTransactions3[[#This Row],[Quantity]],0)</f>
        <v>72</v>
      </c>
      <c r="Y81" s="24">
        <f>IF(WarehouseTransactions3[[#This Row],[Transaction_Type]]="Inbound",WarehouseTransactions3[[#This Row],[Transaction_Value]],0)</f>
        <v>0</v>
      </c>
      <c r="Z81" s="24">
        <f>IF(WarehouseTransactions3[[#This Row],[Transaction_Type]]="Outbound",WarehouseTransactions3[[#This Row],[Transaction_Value]],0)</f>
        <v>468000</v>
      </c>
    </row>
    <row r="82" spans="1:26" x14ac:dyDescent="0.3">
      <c r="A82" s="9" t="s">
        <v>152</v>
      </c>
      <c r="B82" s="10">
        <v>46164</v>
      </c>
      <c r="C82" s="9" t="s">
        <v>61</v>
      </c>
      <c r="D82" s="11" t="s">
        <v>62</v>
      </c>
      <c r="E82" s="9" t="s">
        <v>36</v>
      </c>
      <c r="F82" s="9" t="s">
        <v>31</v>
      </c>
      <c r="G82" s="12">
        <v>41</v>
      </c>
      <c r="H82" s="11" t="s">
        <v>37</v>
      </c>
      <c r="I82" s="9" t="s">
        <v>63</v>
      </c>
      <c r="J82" s="12">
        <v>22400</v>
      </c>
      <c r="K82" s="12">
        <v>0</v>
      </c>
      <c r="L82" s="13">
        <v>6.4</v>
      </c>
      <c r="M82" s="9" t="s">
        <v>20</v>
      </c>
      <c r="N82" s="22">
        <f>DATE(YEAR(WarehouseTransactions3[[#This Row],[Date]]),MONTH(WarehouseTransactions3[[#This Row],[Date]]),1)</f>
        <v>46143</v>
      </c>
      <c r="O82" s="24">
        <f>WarehouseTransactions3[[#This Row],[Quantity]]*WarehouseTransactions3[[#This Row],[Unit_Cost]]</f>
        <v>918400</v>
      </c>
      <c r="P82" s="25">
        <f>WarehouseTransactions3[[#This Row],[Quantity]]-WarehouseTransactions3[[#This Row],[Damaged_Qty]]</f>
        <v>41</v>
      </c>
      <c r="Q82">
        <f>IF(WarehouseTransactions3[[#This Row],[Transaction_Type]]="Inbound",WarehouseTransactions3[[#This Row],[Quantity]],-WarehouseTransactions3[[#This Row],[Quantity]])</f>
        <v>-41</v>
      </c>
      <c r="R82" s="26">
        <f>IFERROR(WarehouseTransactions3[[#This Row],[Damaged_Qty]]/WarehouseTransactions3[[#This Row],[Quantity]],0)</f>
        <v>0</v>
      </c>
      <c r="S82">
        <f>IF(WarehouseTransactions3[[#This Row],[Status]]="Delayed",1,0)</f>
        <v>0</v>
      </c>
      <c r="T82">
        <f>IF(WarehouseTransactions3[[#This Row],[Status]]="Pending",1,0)</f>
        <v>0</v>
      </c>
      <c r="U82" s="20">
        <f>IF(WarehouseTransactions3[[#This Row],[Processing_Time_Hours]]&gt;8,1,0)</f>
        <v>0</v>
      </c>
      <c r="V82" s="27">
        <f>WarehouseTransactions3[[#This Row],[Processing_Time_Hours]]/24</f>
        <v>0.26666666666666666</v>
      </c>
      <c r="W82" s="20">
        <f>IF(WarehouseTransactions3[[#This Row],[Transaction_Type]]="Inbound",WarehouseTransactions3[[#This Row],[Quantity]],0)</f>
        <v>0</v>
      </c>
      <c r="X82" s="20">
        <f>IF(WarehouseTransactions3[[#This Row],[Transaction_Type]]="Outbound",WarehouseTransactions3[[#This Row],[Quantity]],0)</f>
        <v>41</v>
      </c>
      <c r="Y82" s="24">
        <f>IF(WarehouseTransactions3[[#This Row],[Transaction_Type]]="Inbound",WarehouseTransactions3[[#This Row],[Transaction_Value]],0)</f>
        <v>0</v>
      </c>
      <c r="Z82" s="24">
        <f>IF(WarehouseTransactions3[[#This Row],[Transaction_Type]]="Outbound",WarehouseTransactions3[[#This Row],[Transaction_Value]],0)</f>
        <v>918400</v>
      </c>
    </row>
    <row r="83" spans="1:26" x14ac:dyDescent="0.3">
      <c r="A83" s="9" t="s">
        <v>153</v>
      </c>
      <c r="B83" s="10">
        <v>46167</v>
      </c>
      <c r="C83" s="9" t="s">
        <v>14</v>
      </c>
      <c r="D83" s="11" t="s">
        <v>15</v>
      </c>
      <c r="E83" s="9" t="s">
        <v>16</v>
      </c>
      <c r="F83" s="9" t="s">
        <v>17</v>
      </c>
      <c r="G83" s="12">
        <v>28</v>
      </c>
      <c r="H83" s="11" t="s">
        <v>18</v>
      </c>
      <c r="I83" s="9" t="s">
        <v>19</v>
      </c>
      <c r="J83" s="12">
        <v>6500</v>
      </c>
      <c r="K83" s="12">
        <v>0</v>
      </c>
      <c r="L83" s="13">
        <v>2.9</v>
      </c>
      <c r="M83" s="9" t="s">
        <v>20</v>
      </c>
      <c r="N83" s="22">
        <f>DATE(YEAR(WarehouseTransactions3[[#This Row],[Date]]),MONTH(WarehouseTransactions3[[#This Row],[Date]]),1)</f>
        <v>46143</v>
      </c>
      <c r="O83" s="24">
        <f>WarehouseTransactions3[[#This Row],[Quantity]]*WarehouseTransactions3[[#This Row],[Unit_Cost]]</f>
        <v>182000</v>
      </c>
      <c r="P83" s="25">
        <f>WarehouseTransactions3[[#This Row],[Quantity]]-WarehouseTransactions3[[#This Row],[Damaged_Qty]]</f>
        <v>28</v>
      </c>
      <c r="Q83">
        <f>IF(WarehouseTransactions3[[#This Row],[Transaction_Type]]="Inbound",WarehouseTransactions3[[#This Row],[Quantity]],-WarehouseTransactions3[[#This Row],[Quantity]])</f>
        <v>28</v>
      </c>
      <c r="R83" s="26">
        <f>IFERROR(WarehouseTransactions3[[#This Row],[Damaged_Qty]]/WarehouseTransactions3[[#This Row],[Quantity]],0)</f>
        <v>0</v>
      </c>
      <c r="S83">
        <f>IF(WarehouseTransactions3[[#This Row],[Status]]="Delayed",1,0)</f>
        <v>0</v>
      </c>
      <c r="T83">
        <f>IF(WarehouseTransactions3[[#This Row],[Status]]="Pending",1,0)</f>
        <v>0</v>
      </c>
      <c r="U83" s="20">
        <f>IF(WarehouseTransactions3[[#This Row],[Processing_Time_Hours]]&gt;8,1,0)</f>
        <v>0</v>
      </c>
      <c r="V83" s="27">
        <f>WarehouseTransactions3[[#This Row],[Processing_Time_Hours]]/24</f>
        <v>0.12083333333333333</v>
      </c>
      <c r="W83" s="20">
        <f>IF(WarehouseTransactions3[[#This Row],[Transaction_Type]]="Inbound",WarehouseTransactions3[[#This Row],[Quantity]],0)</f>
        <v>28</v>
      </c>
      <c r="X83" s="20">
        <f>IF(WarehouseTransactions3[[#This Row],[Transaction_Type]]="Outbound",WarehouseTransactions3[[#This Row],[Quantity]],0)</f>
        <v>0</v>
      </c>
      <c r="Y83" s="24">
        <f>IF(WarehouseTransactions3[[#This Row],[Transaction_Type]]="Inbound",WarehouseTransactions3[[#This Row],[Transaction_Value]],0)</f>
        <v>182000</v>
      </c>
      <c r="Z83" s="24">
        <f>IF(WarehouseTransactions3[[#This Row],[Transaction_Type]]="Outbound",WarehouseTransactions3[[#This Row],[Transaction_Value]],0)</f>
        <v>0</v>
      </c>
    </row>
    <row r="84" spans="1:26" x14ac:dyDescent="0.3">
      <c r="A84" s="9" t="s">
        <v>154</v>
      </c>
      <c r="B84" s="10">
        <v>46168</v>
      </c>
      <c r="C84" s="9" t="s">
        <v>77</v>
      </c>
      <c r="D84" s="11" t="s">
        <v>78</v>
      </c>
      <c r="E84" s="9" t="s">
        <v>30</v>
      </c>
      <c r="F84" s="9" t="s">
        <v>31</v>
      </c>
      <c r="G84" s="12">
        <v>91</v>
      </c>
      <c r="H84" s="11" t="s">
        <v>32</v>
      </c>
      <c r="I84" s="9" t="s">
        <v>67</v>
      </c>
      <c r="J84" s="12">
        <v>36500</v>
      </c>
      <c r="K84" s="12">
        <v>0</v>
      </c>
      <c r="L84" s="13">
        <v>2.8</v>
      </c>
      <c r="M84" s="9" t="s">
        <v>20</v>
      </c>
      <c r="N84" s="22">
        <f>DATE(YEAR(WarehouseTransactions3[[#This Row],[Date]]),MONTH(WarehouseTransactions3[[#This Row],[Date]]),1)</f>
        <v>46143</v>
      </c>
      <c r="O84" s="24">
        <f>WarehouseTransactions3[[#This Row],[Quantity]]*WarehouseTransactions3[[#This Row],[Unit_Cost]]</f>
        <v>3321500</v>
      </c>
      <c r="P84" s="25">
        <f>WarehouseTransactions3[[#This Row],[Quantity]]-WarehouseTransactions3[[#This Row],[Damaged_Qty]]</f>
        <v>91</v>
      </c>
      <c r="Q84">
        <f>IF(WarehouseTransactions3[[#This Row],[Transaction_Type]]="Inbound",WarehouseTransactions3[[#This Row],[Quantity]],-WarehouseTransactions3[[#This Row],[Quantity]])</f>
        <v>-91</v>
      </c>
      <c r="R84" s="26">
        <f>IFERROR(WarehouseTransactions3[[#This Row],[Damaged_Qty]]/WarehouseTransactions3[[#This Row],[Quantity]],0)</f>
        <v>0</v>
      </c>
      <c r="S84">
        <f>IF(WarehouseTransactions3[[#This Row],[Status]]="Delayed",1,0)</f>
        <v>0</v>
      </c>
      <c r="T84">
        <f>IF(WarehouseTransactions3[[#This Row],[Status]]="Pending",1,0)</f>
        <v>0</v>
      </c>
      <c r="U84" s="20">
        <f>IF(WarehouseTransactions3[[#This Row],[Processing_Time_Hours]]&gt;8,1,0)</f>
        <v>0</v>
      </c>
      <c r="V84" s="27">
        <f>WarehouseTransactions3[[#This Row],[Processing_Time_Hours]]/24</f>
        <v>0.11666666666666665</v>
      </c>
      <c r="W84" s="20">
        <f>IF(WarehouseTransactions3[[#This Row],[Transaction_Type]]="Inbound",WarehouseTransactions3[[#This Row],[Quantity]],0)</f>
        <v>0</v>
      </c>
      <c r="X84" s="20">
        <f>IF(WarehouseTransactions3[[#This Row],[Transaction_Type]]="Outbound",WarehouseTransactions3[[#This Row],[Quantity]],0)</f>
        <v>91</v>
      </c>
      <c r="Y84" s="24">
        <f>IF(WarehouseTransactions3[[#This Row],[Transaction_Type]]="Inbound",WarehouseTransactions3[[#This Row],[Transaction_Value]],0)</f>
        <v>0</v>
      </c>
      <c r="Z84" s="24">
        <f>IF(WarehouseTransactions3[[#This Row],[Transaction_Type]]="Outbound",WarehouseTransactions3[[#This Row],[Transaction_Value]],0)</f>
        <v>3321500</v>
      </c>
    </row>
    <row r="85" spans="1:26" x14ac:dyDescent="0.3">
      <c r="A85" s="9" t="s">
        <v>155</v>
      </c>
      <c r="B85" s="10">
        <v>46168</v>
      </c>
      <c r="C85" s="9" t="s">
        <v>65</v>
      </c>
      <c r="D85" s="11" t="s">
        <v>66</v>
      </c>
      <c r="E85" s="9" t="s">
        <v>16</v>
      </c>
      <c r="F85" s="9" t="s">
        <v>31</v>
      </c>
      <c r="G85" s="12">
        <v>76</v>
      </c>
      <c r="H85" s="11" t="s">
        <v>18</v>
      </c>
      <c r="I85" s="9" t="s">
        <v>67</v>
      </c>
      <c r="J85" s="12">
        <v>12400</v>
      </c>
      <c r="K85" s="12">
        <v>0</v>
      </c>
      <c r="L85" s="13">
        <v>4.0999999999999996</v>
      </c>
      <c r="M85" s="9" t="s">
        <v>20</v>
      </c>
      <c r="N85" s="22">
        <f>DATE(YEAR(WarehouseTransactions3[[#This Row],[Date]]),MONTH(WarehouseTransactions3[[#This Row],[Date]]),1)</f>
        <v>46143</v>
      </c>
      <c r="O85" s="24">
        <f>WarehouseTransactions3[[#This Row],[Quantity]]*WarehouseTransactions3[[#This Row],[Unit_Cost]]</f>
        <v>942400</v>
      </c>
      <c r="P85" s="25">
        <f>WarehouseTransactions3[[#This Row],[Quantity]]-WarehouseTransactions3[[#This Row],[Damaged_Qty]]</f>
        <v>76</v>
      </c>
      <c r="Q85">
        <f>IF(WarehouseTransactions3[[#This Row],[Transaction_Type]]="Inbound",WarehouseTransactions3[[#This Row],[Quantity]],-WarehouseTransactions3[[#This Row],[Quantity]])</f>
        <v>-76</v>
      </c>
      <c r="R85" s="26">
        <f>IFERROR(WarehouseTransactions3[[#This Row],[Damaged_Qty]]/WarehouseTransactions3[[#This Row],[Quantity]],0)</f>
        <v>0</v>
      </c>
      <c r="S85">
        <f>IF(WarehouseTransactions3[[#This Row],[Status]]="Delayed",1,0)</f>
        <v>0</v>
      </c>
      <c r="T85">
        <f>IF(WarehouseTransactions3[[#This Row],[Status]]="Pending",1,0)</f>
        <v>0</v>
      </c>
      <c r="U85" s="20">
        <f>IF(WarehouseTransactions3[[#This Row],[Processing_Time_Hours]]&gt;8,1,0)</f>
        <v>0</v>
      </c>
      <c r="V85" s="27">
        <f>WarehouseTransactions3[[#This Row],[Processing_Time_Hours]]/24</f>
        <v>0.17083333333333331</v>
      </c>
      <c r="W85" s="20">
        <f>IF(WarehouseTransactions3[[#This Row],[Transaction_Type]]="Inbound",WarehouseTransactions3[[#This Row],[Quantity]],0)</f>
        <v>0</v>
      </c>
      <c r="X85" s="20">
        <f>IF(WarehouseTransactions3[[#This Row],[Transaction_Type]]="Outbound",WarehouseTransactions3[[#This Row],[Quantity]],0)</f>
        <v>76</v>
      </c>
      <c r="Y85" s="24">
        <f>IF(WarehouseTransactions3[[#This Row],[Transaction_Type]]="Inbound",WarehouseTransactions3[[#This Row],[Transaction_Value]],0)</f>
        <v>0</v>
      </c>
      <c r="Z85" s="24">
        <f>IF(WarehouseTransactions3[[#This Row],[Transaction_Type]]="Outbound",WarehouseTransactions3[[#This Row],[Transaction_Value]],0)</f>
        <v>942400</v>
      </c>
    </row>
    <row r="86" spans="1:26" x14ac:dyDescent="0.3">
      <c r="A86" s="9" t="s">
        <v>156</v>
      </c>
      <c r="B86" s="10">
        <v>46176</v>
      </c>
      <c r="C86" s="9" t="s">
        <v>108</v>
      </c>
      <c r="D86" s="11" t="s">
        <v>109</v>
      </c>
      <c r="E86" s="9" t="s">
        <v>36</v>
      </c>
      <c r="F86" s="9" t="s">
        <v>31</v>
      </c>
      <c r="G86" s="12">
        <v>15</v>
      </c>
      <c r="H86" s="11" t="s">
        <v>37</v>
      </c>
      <c r="I86" s="9" t="s">
        <v>38</v>
      </c>
      <c r="J86" s="12">
        <v>28500</v>
      </c>
      <c r="K86" s="12">
        <v>0</v>
      </c>
      <c r="L86" s="13">
        <v>2.1</v>
      </c>
      <c r="M86" s="9" t="s">
        <v>20</v>
      </c>
      <c r="N86" s="22">
        <f>DATE(YEAR(WarehouseTransactions3[[#This Row],[Date]]),MONTH(WarehouseTransactions3[[#This Row],[Date]]),1)</f>
        <v>46174</v>
      </c>
      <c r="O86" s="24">
        <f>WarehouseTransactions3[[#This Row],[Quantity]]*WarehouseTransactions3[[#This Row],[Unit_Cost]]</f>
        <v>427500</v>
      </c>
      <c r="P86" s="25">
        <f>WarehouseTransactions3[[#This Row],[Quantity]]-WarehouseTransactions3[[#This Row],[Damaged_Qty]]</f>
        <v>15</v>
      </c>
      <c r="Q86">
        <f>IF(WarehouseTransactions3[[#This Row],[Transaction_Type]]="Inbound",WarehouseTransactions3[[#This Row],[Quantity]],-WarehouseTransactions3[[#This Row],[Quantity]])</f>
        <v>-15</v>
      </c>
      <c r="R86" s="26">
        <f>IFERROR(WarehouseTransactions3[[#This Row],[Damaged_Qty]]/WarehouseTransactions3[[#This Row],[Quantity]],0)</f>
        <v>0</v>
      </c>
      <c r="S86">
        <f>IF(WarehouseTransactions3[[#This Row],[Status]]="Delayed",1,0)</f>
        <v>0</v>
      </c>
      <c r="T86">
        <f>IF(WarehouseTransactions3[[#This Row],[Status]]="Pending",1,0)</f>
        <v>0</v>
      </c>
      <c r="U86" s="20">
        <f>IF(WarehouseTransactions3[[#This Row],[Processing_Time_Hours]]&gt;8,1,0)</f>
        <v>0</v>
      </c>
      <c r="V86" s="27">
        <f>WarehouseTransactions3[[#This Row],[Processing_Time_Hours]]/24</f>
        <v>8.7500000000000008E-2</v>
      </c>
      <c r="W86" s="20">
        <f>IF(WarehouseTransactions3[[#This Row],[Transaction_Type]]="Inbound",WarehouseTransactions3[[#This Row],[Quantity]],0)</f>
        <v>0</v>
      </c>
      <c r="X86" s="20">
        <f>IF(WarehouseTransactions3[[#This Row],[Transaction_Type]]="Outbound",WarehouseTransactions3[[#This Row],[Quantity]],0)</f>
        <v>15</v>
      </c>
      <c r="Y86" s="24">
        <f>IF(WarehouseTransactions3[[#This Row],[Transaction_Type]]="Inbound",WarehouseTransactions3[[#This Row],[Transaction_Value]],0)</f>
        <v>0</v>
      </c>
      <c r="Z86" s="24">
        <f>IF(WarehouseTransactions3[[#This Row],[Transaction_Type]]="Outbound",WarehouseTransactions3[[#This Row],[Transaction_Value]],0)</f>
        <v>427500</v>
      </c>
    </row>
    <row r="87" spans="1:26" x14ac:dyDescent="0.3">
      <c r="A87" s="9" t="s">
        <v>157</v>
      </c>
      <c r="B87" s="10">
        <v>46180</v>
      </c>
      <c r="C87" s="9" t="s">
        <v>93</v>
      </c>
      <c r="D87" s="11" t="s">
        <v>94</v>
      </c>
      <c r="E87" s="9" t="s">
        <v>47</v>
      </c>
      <c r="F87" s="9" t="s">
        <v>17</v>
      </c>
      <c r="G87" s="12">
        <v>100</v>
      </c>
      <c r="H87" s="11" t="s">
        <v>48</v>
      </c>
      <c r="I87" s="9" t="s">
        <v>49</v>
      </c>
      <c r="J87" s="12">
        <v>14500</v>
      </c>
      <c r="K87" s="12">
        <v>1</v>
      </c>
      <c r="L87" s="13">
        <v>3.6</v>
      </c>
      <c r="M87" s="9" t="s">
        <v>20</v>
      </c>
      <c r="N87" s="22">
        <f>DATE(YEAR(WarehouseTransactions3[[#This Row],[Date]]),MONTH(WarehouseTransactions3[[#This Row],[Date]]),1)</f>
        <v>46174</v>
      </c>
      <c r="O87" s="24">
        <f>WarehouseTransactions3[[#This Row],[Quantity]]*WarehouseTransactions3[[#This Row],[Unit_Cost]]</f>
        <v>1450000</v>
      </c>
      <c r="P87" s="25">
        <f>WarehouseTransactions3[[#This Row],[Quantity]]-WarehouseTransactions3[[#This Row],[Damaged_Qty]]</f>
        <v>99</v>
      </c>
      <c r="Q87">
        <f>IF(WarehouseTransactions3[[#This Row],[Transaction_Type]]="Inbound",WarehouseTransactions3[[#This Row],[Quantity]],-WarehouseTransactions3[[#This Row],[Quantity]])</f>
        <v>100</v>
      </c>
      <c r="R87" s="26">
        <f>IFERROR(WarehouseTransactions3[[#This Row],[Damaged_Qty]]/WarehouseTransactions3[[#This Row],[Quantity]],0)</f>
        <v>0.01</v>
      </c>
      <c r="S87">
        <f>IF(WarehouseTransactions3[[#This Row],[Status]]="Delayed",1,0)</f>
        <v>0</v>
      </c>
      <c r="T87">
        <f>IF(WarehouseTransactions3[[#This Row],[Status]]="Pending",1,0)</f>
        <v>0</v>
      </c>
      <c r="U87" s="20">
        <f>IF(WarehouseTransactions3[[#This Row],[Processing_Time_Hours]]&gt;8,1,0)</f>
        <v>0</v>
      </c>
      <c r="V87" s="27">
        <f>WarehouseTransactions3[[#This Row],[Processing_Time_Hours]]/24</f>
        <v>0.15</v>
      </c>
      <c r="W87" s="20">
        <f>IF(WarehouseTransactions3[[#This Row],[Transaction_Type]]="Inbound",WarehouseTransactions3[[#This Row],[Quantity]],0)</f>
        <v>100</v>
      </c>
      <c r="X87" s="20">
        <f>IF(WarehouseTransactions3[[#This Row],[Transaction_Type]]="Outbound",WarehouseTransactions3[[#This Row],[Quantity]],0)</f>
        <v>0</v>
      </c>
      <c r="Y87" s="24">
        <f>IF(WarehouseTransactions3[[#This Row],[Transaction_Type]]="Inbound",WarehouseTransactions3[[#This Row],[Transaction_Value]],0)</f>
        <v>1450000</v>
      </c>
      <c r="Z87" s="24">
        <f>IF(WarehouseTransactions3[[#This Row],[Transaction_Type]]="Outbound",WarehouseTransactions3[[#This Row],[Transaction_Value]],0)</f>
        <v>0</v>
      </c>
    </row>
    <row r="88" spans="1:26" x14ac:dyDescent="0.3">
      <c r="A88" s="9" t="s">
        <v>158</v>
      </c>
      <c r="B88" s="10">
        <v>46181</v>
      </c>
      <c r="C88" s="9" t="s">
        <v>22</v>
      </c>
      <c r="D88" s="11" t="s">
        <v>23</v>
      </c>
      <c r="E88" s="9" t="s">
        <v>24</v>
      </c>
      <c r="F88" s="9" t="s">
        <v>31</v>
      </c>
      <c r="G88" s="12">
        <v>40</v>
      </c>
      <c r="H88" s="11" t="s">
        <v>25</v>
      </c>
      <c r="I88" s="9" t="s">
        <v>26</v>
      </c>
      <c r="J88" s="12">
        <v>11200</v>
      </c>
      <c r="K88" s="12">
        <v>0</v>
      </c>
      <c r="L88" s="13">
        <v>3.7</v>
      </c>
      <c r="M88" s="9" t="s">
        <v>20</v>
      </c>
      <c r="N88" s="22">
        <f>DATE(YEAR(WarehouseTransactions3[[#This Row],[Date]]),MONTH(WarehouseTransactions3[[#This Row],[Date]]),1)</f>
        <v>46174</v>
      </c>
      <c r="O88" s="24">
        <f>WarehouseTransactions3[[#This Row],[Quantity]]*WarehouseTransactions3[[#This Row],[Unit_Cost]]</f>
        <v>448000</v>
      </c>
      <c r="P88" s="25">
        <f>WarehouseTransactions3[[#This Row],[Quantity]]-WarehouseTransactions3[[#This Row],[Damaged_Qty]]</f>
        <v>40</v>
      </c>
      <c r="Q88">
        <f>IF(WarehouseTransactions3[[#This Row],[Transaction_Type]]="Inbound",WarehouseTransactions3[[#This Row],[Quantity]],-WarehouseTransactions3[[#This Row],[Quantity]])</f>
        <v>-40</v>
      </c>
      <c r="R88" s="26">
        <f>IFERROR(WarehouseTransactions3[[#This Row],[Damaged_Qty]]/WarehouseTransactions3[[#This Row],[Quantity]],0)</f>
        <v>0</v>
      </c>
      <c r="S88">
        <f>IF(WarehouseTransactions3[[#This Row],[Status]]="Delayed",1,0)</f>
        <v>0</v>
      </c>
      <c r="T88">
        <f>IF(WarehouseTransactions3[[#This Row],[Status]]="Pending",1,0)</f>
        <v>0</v>
      </c>
      <c r="U88" s="20">
        <f>IF(WarehouseTransactions3[[#This Row],[Processing_Time_Hours]]&gt;8,1,0)</f>
        <v>0</v>
      </c>
      <c r="V88" s="27">
        <f>WarehouseTransactions3[[#This Row],[Processing_Time_Hours]]/24</f>
        <v>0.15416666666666667</v>
      </c>
      <c r="W88" s="20">
        <f>IF(WarehouseTransactions3[[#This Row],[Transaction_Type]]="Inbound",WarehouseTransactions3[[#This Row],[Quantity]],0)</f>
        <v>0</v>
      </c>
      <c r="X88" s="20">
        <f>IF(WarehouseTransactions3[[#This Row],[Transaction_Type]]="Outbound",WarehouseTransactions3[[#This Row],[Quantity]],0)</f>
        <v>40</v>
      </c>
      <c r="Y88" s="24">
        <f>IF(WarehouseTransactions3[[#This Row],[Transaction_Type]]="Inbound",WarehouseTransactions3[[#This Row],[Transaction_Value]],0)</f>
        <v>0</v>
      </c>
      <c r="Z88" s="24">
        <f>IF(WarehouseTransactions3[[#This Row],[Transaction_Type]]="Outbound",WarehouseTransactions3[[#This Row],[Transaction_Value]],0)</f>
        <v>448000</v>
      </c>
    </row>
    <row r="89" spans="1:26" x14ac:dyDescent="0.3">
      <c r="A89" s="9" t="s">
        <v>159</v>
      </c>
      <c r="B89" s="10">
        <v>46181</v>
      </c>
      <c r="C89" s="9" t="s">
        <v>22</v>
      </c>
      <c r="D89" s="11" t="s">
        <v>23</v>
      </c>
      <c r="E89" s="9" t="s">
        <v>24</v>
      </c>
      <c r="F89" s="9" t="s">
        <v>31</v>
      </c>
      <c r="G89" s="12">
        <v>76</v>
      </c>
      <c r="H89" s="11" t="s">
        <v>25</v>
      </c>
      <c r="I89" s="9" t="s">
        <v>26</v>
      </c>
      <c r="J89" s="12">
        <v>11200</v>
      </c>
      <c r="K89" s="12">
        <v>0</v>
      </c>
      <c r="L89" s="13">
        <v>1.7</v>
      </c>
      <c r="M89" s="9" t="s">
        <v>20</v>
      </c>
      <c r="N89" s="22">
        <f>DATE(YEAR(WarehouseTransactions3[[#This Row],[Date]]),MONTH(WarehouseTransactions3[[#This Row],[Date]]),1)</f>
        <v>46174</v>
      </c>
      <c r="O89" s="24">
        <f>WarehouseTransactions3[[#This Row],[Quantity]]*WarehouseTransactions3[[#This Row],[Unit_Cost]]</f>
        <v>851200</v>
      </c>
      <c r="P89" s="25">
        <f>WarehouseTransactions3[[#This Row],[Quantity]]-WarehouseTransactions3[[#This Row],[Damaged_Qty]]</f>
        <v>76</v>
      </c>
      <c r="Q89">
        <f>IF(WarehouseTransactions3[[#This Row],[Transaction_Type]]="Inbound",WarehouseTransactions3[[#This Row],[Quantity]],-WarehouseTransactions3[[#This Row],[Quantity]])</f>
        <v>-76</v>
      </c>
      <c r="R89" s="26">
        <f>IFERROR(WarehouseTransactions3[[#This Row],[Damaged_Qty]]/WarehouseTransactions3[[#This Row],[Quantity]],0)</f>
        <v>0</v>
      </c>
      <c r="S89">
        <f>IF(WarehouseTransactions3[[#This Row],[Status]]="Delayed",1,0)</f>
        <v>0</v>
      </c>
      <c r="T89">
        <f>IF(WarehouseTransactions3[[#This Row],[Status]]="Pending",1,0)</f>
        <v>0</v>
      </c>
      <c r="U89" s="20">
        <f>IF(WarehouseTransactions3[[#This Row],[Processing_Time_Hours]]&gt;8,1,0)</f>
        <v>0</v>
      </c>
      <c r="V89" s="27">
        <f>WarehouseTransactions3[[#This Row],[Processing_Time_Hours]]/24</f>
        <v>7.0833333333333331E-2</v>
      </c>
      <c r="W89" s="20">
        <f>IF(WarehouseTransactions3[[#This Row],[Transaction_Type]]="Inbound",WarehouseTransactions3[[#This Row],[Quantity]],0)</f>
        <v>0</v>
      </c>
      <c r="X89" s="20">
        <f>IF(WarehouseTransactions3[[#This Row],[Transaction_Type]]="Outbound",WarehouseTransactions3[[#This Row],[Quantity]],0)</f>
        <v>76</v>
      </c>
      <c r="Y89" s="24">
        <f>IF(WarehouseTransactions3[[#This Row],[Transaction_Type]]="Inbound",WarehouseTransactions3[[#This Row],[Transaction_Value]],0)</f>
        <v>0</v>
      </c>
      <c r="Z89" s="24">
        <f>IF(WarehouseTransactions3[[#This Row],[Transaction_Type]]="Outbound",WarehouseTransactions3[[#This Row],[Transaction_Value]],0)</f>
        <v>851200</v>
      </c>
    </row>
    <row r="90" spans="1:26" x14ac:dyDescent="0.3">
      <c r="A90" s="9" t="s">
        <v>160</v>
      </c>
      <c r="B90" s="10">
        <v>46183</v>
      </c>
      <c r="C90" s="9" t="s">
        <v>69</v>
      </c>
      <c r="D90" s="11" t="s">
        <v>70</v>
      </c>
      <c r="E90" s="9" t="s">
        <v>16</v>
      </c>
      <c r="F90" s="9" t="s">
        <v>17</v>
      </c>
      <c r="G90" s="12">
        <v>67</v>
      </c>
      <c r="H90" s="11" t="s">
        <v>18</v>
      </c>
      <c r="I90" s="9" t="s">
        <v>67</v>
      </c>
      <c r="J90" s="12">
        <v>7800</v>
      </c>
      <c r="K90" s="12">
        <v>0</v>
      </c>
      <c r="L90" s="13">
        <v>5.9</v>
      </c>
      <c r="M90" s="9" t="s">
        <v>20</v>
      </c>
      <c r="N90" s="22">
        <f>DATE(YEAR(WarehouseTransactions3[[#This Row],[Date]]),MONTH(WarehouseTransactions3[[#This Row],[Date]]),1)</f>
        <v>46174</v>
      </c>
      <c r="O90" s="24">
        <f>WarehouseTransactions3[[#This Row],[Quantity]]*WarehouseTransactions3[[#This Row],[Unit_Cost]]</f>
        <v>522600</v>
      </c>
      <c r="P90" s="25">
        <f>WarehouseTransactions3[[#This Row],[Quantity]]-WarehouseTransactions3[[#This Row],[Damaged_Qty]]</f>
        <v>67</v>
      </c>
      <c r="Q90">
        <f>IF(WarehouseTransactions3[[#This Row],[Transaction_Type]]="Inbound",WarehouseTransactions3[[#This Row],[Quantity]],-WarehouseTransactions3[[#This Row],[Quantity]])</f>
        <v>67</v>
      </c>
      <c r="R90" s="26">
        <f>IFERROR(WarehouseTransactions3[[#This Row],[Damaged_Qty]]/WarehouseTransactions3[[#This Row],[Quantity]],0)</f>
        <v>0</v>
      </c>
      <c r="S90">
        <f>IF(WarehouseTransactions3[[#This Row],[Status]]="Delayed",1,0)</f>
        <v>0</v>
      </c>
      <c r="T90">
        <f>IF(WarehouseTransactions3[[#This Row],[Status]]="Pending",1,0)</f>
        <v>0</v>
      </c>
      <c r="U90" s="20">
        <f>IF(WarehouseTransactions3[[#This Row],[Processing_Time_Hours]]&gt;8,1,0)</f>
        <v>0</v>
      </c>
      <c r="V90" s="27">
        <f>WarehouseTransactions3[[#This Row],[Processing_Time_Hours]]/24</f>
        <v>0.24583333333333335</v>
      </c>
      <c r="W90" s="20">
        <f>IF(WarehouseTransactions3[[#This Row],[Transaction_Type]]="Inbound",WarehouseTransactions3[[#This Row],[Quantity]],0)</f>
        <v>67</v>
      </c>
      <c r="X90" s="20">
        <f>IF(WarehouseTransactions3[[#This Row],[Transaction_Type]]="Outbound",WarehouseTransactions3[[#This Row],[Quantity]],0)</f>
        <v>0</v>
      </c>
      <c r="Y90" s="24">
        <f>IF(WarehouseTransactions3[[#This Row],[Transaction_Type]]="Inbound",WarehouseTransactions3[[#This Row],[Transaction_Value]],0)</f>
        <v>522600</v>
      </c>
      <c r="Z90" s="24">
        <f>IF(WarehouseTransactions3[[#This Row],[Transaction_Type]]="Outbound",WarehouseTransactions3[[#This Row],[Transaction_Value]],0)</f>
        <v>0</v>
      </c>
    </row>
    <row r="91" spans="1:26" x14ac:dyDescent="0.3">
      <c r="A91" s="9" t="s">
        <v>161</v>
      </c>
      <c r="B91" s="10">
        <v>46185</v>
      </c>
      <c r="C91" s="9" t="s">
        <v>34</v>
      </c>
      <c r="D91" s="11" t="s">
        <v>35</v>
      </c>
      <c r="E91" s="9" t="s">
        <v>36</v>
      </c>
      <c r="F91" s="9" t="s">
        <v>31</v>
      </c>
      <c r="G91" s="12">
        <v>69</v>
      </c>
      <c r="H91" s="11" t="s">
        <v>37</v>
      </c>
      <c r="I91" s="9" t="s">
        <v>38</v>
      </c>
      <c r="J91" s="12">
        <v>13900</v>
      </c>
      <c r="K91" s="12">
        <v>0</v>
      </c>
      <c r="L91" s="13">
        <v>5</v>
      </c>
      <c r="M91" s="9" t="s">
        <v>20</v>
      </c>
      <c r="N91" s="22">
        <f>DATE(YEAR(WarehouseTransactions3[[#This Row],[Date]]),MONTH(WarehouseTransactions3[[#This Row],[Date]]),1)</f>
        <v>46174</v>
      </c>
      <c r="O91" s="24">
        <f>WarehouseTransactions3[[#This Row],[Quantity]]*WarehouseTransactions3[[#This Row],[Unit_Cost]]</f>
        <v>959100</v>
      </c>
      <c r="P91" s="25">
        <f>WarehouseTransactions3[[#This Row],[Quantity]]-WarehouseTransactions3[[#This Row],[Damaged_Qty]]</f>
        <v>69</v>
      </c>
      <c r="Q91">
        <f>IF(WarehouseTransactions3[[#This Row],[Transaction_Type]]="Inbound",WarehouseTransactions3[[#This Row],[Quantity]],-WarehouseTransactions3[[#This Row],[Quantity]])</f>
        <v>-69</v>
      </c>
      <c r="R91" s="26">
        <f>IFERROR(WarehouseTransactions3[[#This Row],[Damaged_Qty]]/WarehouseTransactions3[[#This Row],[Quantity]],0)</f>
        <v>0</v>
      </c>
      <c r="S91">
        <f>IF(WarehouseTransactions3[[#This Row],[Status]]="Delayed",1,0)</f>
        <v>0</v>
      </c>
      <c r="T91">
        <f>IF(WarehouseTransactions3[[#This Row],[Status]]="Pending",1,0)</f>
        <v>0</v>
      </c>
      <c r="U91" s="20">
        <f>IF(WarehouseTransactions3[[#This Row],[Processing_Time_Hours]]&gt;8,1,0)</f>
        <v>0</v>
      </c>
      <c r="V91" s="27">
        <f>WarehouseTransactions3[[#This Row],[Processing_Time_Hours]]/24</f>
        <v>0.20833333333333334</v>
      </c>
      <c r="W91" s="20">
        <f>IF(WarehouseTransactions3[[#This Row],[Transaction_Type]]="Inbound",WarehouseTransactions3[[#This Row],[Quantity]],0)</f>
        <v>0</v>
      </c>
      <c r="X91" s="20">
        <f>IF(WarehouseTransactions3[[#This Row],[Transaction_Type]]="Outbound",WarehouseTransactions3[[#This Row],[Quantity]],0)</f>
        <v>69</v>
      </c>
      <c r="Y91" s="24">
        <f>IF(WarehouseTransactions3[[#This Row],[Transaction_Type]]="Inbound",WarehouseTransactions3[[#This Row],[Transaction_Value]],0)</f>
        <v>0</v>
      </c>
      <c r="Z91" s="24">
        <f>IF(WarehouseTransactions3[[#This Row],[Transaction_Type]]="Outbound",WarehouseTransactions3[[#This Row],[Transaction_Value]],0)</f>
        <v>959100</v>
      </c>
    </row>
    <row r="92" spans="1:26" x14ac:dyDescent="0.3">
      <c r="A92" s="9" t="s">
        <v>162</v>
      </c>
      <c r="B92" s="10">
        <v>46189</v>
      </c>
      <c r="C92" s="9" t="s">
        <v>28</v>
      </c>
      <c r="D92" s="11" t="s">
        <v>29</v>
      </c>
      <c r="E92" s="9" t="s">
        <v>30</v>
      </c>
      <c r="F92" s="9" t="s">
        <v>31</v>
      </c>
      <c r="G92" s="12">
        <v>5</v>
      </c>
      <c r="H92" s="11" t="s">
        <v>32</v>
      </c>
      <c r="I92" s="9" t="s">
        <v>19</v>
      </c>
      <c r="J92" s="12">
        <v>68500</v>
      </c>
      <c r="K92" s="12">
        <v>0</v>
      </c>
      <c r="L92" s="13">
        <v>5.8</v>
      </c>
      <c r="M92" s="9" t="s">
        <v>20</v>
      </c>
      <c r="N92" s="22">
        <f>DATE(YEAR(WarehouseTransactions3[[#This Row],[Date]]),MONTH(WarehouseTransactions3[[#This Row],[Date]]),1)</f>
        <v>46174</v>
      </c>
      <c r="O92" s="24">
        <f>WarehouseTransactions3[[#This Row],[Quantity]]*WarehouseTransactions3[[#This Row],[Unit_Cost]]</f>
        <v>342500</v>
      </c>
      <c r="P92" s="25">
        <f>WarehouseTransactions3[[#This Row],[Quantity]]-WarehouseTransactions3[[#This Row],[Damaged_Qty]]</f>
        <v>5</v>
      </c>
      <c r="Q92">
        <f>IF(WarehouseTransactions3[[#This Row],[Transaction_Type]]="Inbound",WarehouseTransactions3[[#This Row],[Quantity]],-WarehouseTransactions3[[#This Row],[Quantity]])</f>
        <v>-5</v>
      </c>
      <c r="R92" s="26">
        <f>IFERROR(WarehouseTransactions3[[#This Row],[Damaged_Qty]]/WarehouseTransactions3[[#This Row],[Quantity]],0)</f>
        <v>0</v>
      </c>
      <c r="S92">
        <f>IF(WarehouseTransactions3[[#This Row],[Status]]="Delayed",1,0)</f>
        <v>0</v>
      </c>
      <c r="T92">
        <f>IF(WarehouseTransactions3[[#This Row],[Status]]="Pending",1,0)</f>
        <v>0</v>
      </c>
      <c r="U92" s="20">
        <f>IF(WarehouseTransactions3[[#This Row],[Processing_Time_Hours]]&gt;8,1,0)</f>
        <v>0</v>
      </c>
      <c r="V92" s="27">
        <f>WarehouseTransactions3[[#This Row],[Processing_Time_Hours]]/24</f>
        <v>0.24166666666666667</v>
      </c>
      <c r="W92" s="20">
        <f>IF(WarehouseTransactions3[[#This Row],[Transaction_Type]]="Inbound",WarehouseTransactions3[[#This Row],[Quantity]],0)</f>
        <v>0</v>
      </c>
      <c r="X92" s="20">
        <f>IF(WarehouseTransactions3[[#This Row],[Transaction_Type]]="Outbound",WarehouseTransactions3[[#This Row],[Quantity]],0)</f>
        <v>5</v>
      </c>
      <c r="Y92" s="24">
        <f>IF(WarehouseTransactions3[[#This Row],[Transaction_Type]]="Inbound",WarehouseTransactions3[[#This Row],[Transaction_Value]],0)</f>
        <v>0</v>
      </c>
      <c r="Z92" s="24">
        <f>IF(WarehouseTransactions3[[#This Row],[Transaction_Type]]="Outbound",WarehouseTransactions3[[#This Row],[Transaction_Value]],0)</f>
        <v>342500</v>
      </c>
    </row>
    <row r="93" spans="1:26" x14ac:dyDescent="0.3">
      <c r="A93" s="9" t="s">
        <v>163</v>
      </c>
      <c r="B93" s="10">
        <v>46190</v>
      </c>
      <c r="C93" s="9" t="s">
        <v>100</v>
      </c>
      <c r="D93" s="11" t="s">
        <v>101</v>
      </c>
      <c r="E93" s="9" t="s">
        <v>30</v>
      </c>
      <c r="F93" s="9" t="s">
        <v>17</v>
      </c>
      <c r="G93" s="12">
        <v>65</v>
      </c>
      <c r="H93" s="11" t="s">
        <v>32</v>
      </c>
      <c r="I93" s="9" t="s">
        <v>67</v>
      </c>
      <c r="J93" s="12">
        <v>23800</v>
      </c>
      <c r="K93" s="12">
        <v>0</v>
      </c>
      <c r="L93" s="13">
        <v>3.9</v>
      </c>
      <c r="M93" s="9" t="s">
        <v>20</v>
      </c>
      <c r="N93" s="22">
        <f>DATE(YEAR(WarehouseTransactions3[[#This Row],[Date]]),MONTH(WarehouseTransactions3[[#This Row],[Date]]),1)</f>
        <v>46174</v>
      </c>
      <c r="O93" s="24">
        <f>WarehouseTransactions3[[#This Row],[Quantity]]*WarehouseTransactions3[[#This Row],[Unit_Cost]]</f>
        <v>1547000</v>
      </c>
      <c r="P93" s="25">
        <f>WarehouseTransactions3[[#This Row],[Quantity]]-WarehouseTransactions3[[#This Row],[Damaged_Qty]]</f>
        <v>65</v>
      </c>
      <c r="Q93">
        <f>IF(WarehouseTransactions3[[#This Row],[Transaction_Type]]="Inbound",WarehouseTransactions3[[#This Row],[Quantity]],-WarehouseTransactions3[[#This Row],[Quantity]])</f>
        <v>65</v>
      </c>
      <c r="R93" s="26">
        <f>IFERROR(WarehouseTransactions3[[#This Row],[Damaged_Qty]]/WarehouseTransactions3[[#This Row],[Quantity]],0)</f>
        <v>0</v>
      </c>
      <c r="S93">
        <f>IF(WarehouseTransactions3[[#This Row],[Status]]="Delayed",1,0)</f>
        <v>0</v>
      </c>
      <c r="T93">
        <f>IF(WarehouseTransactions3[[#This Row],[Status]]="Pending",1,0)</f>
        <v>0</v>
      </c>
      <c r="U93" s="20">
        <f>IF(WarehouseTransactions3[[#This Row],[Processing_Time_Hours]]&gt;8,1,0)</f>
        <v>0</v>
      </c>
      <c r="V93" s="27">
        <f>WarehouseTransactions3[[#This Row],[Processing_Time_Hours]]/24</f>
        <v>0.16250000000000001</v>
      </c>
      <c r="W93" s="20">
        <f>IF(WarehouseTransactions3[[#This Row],[Transaction_Type]]="Inbound",WarehouseTransactions3[[#This Row],[Quantity]],0)</f>
        <v>65</v>
      </c>
      <c r="X93" s="20">
        <f>IF(WarehouseTransactions3[[#This Row],[Transaction_Type]]="Outbound",WarehouseTransactions3[[#This Row],[Quantity]],0)</f>
        <v>0</v>
      </c>
      <c r="Y93" s="24">
        <f>IF(WarehouseTransactions3[[#This Row],[Transaction_Type]]="Inbound",WarehouseTransactions3[[#This Row],[Transaction_Value]],0)</f>
        <v>1547000</v>
      </c>
      <c r="Z93" s="24">
        <f>IF(WarehouseTransactions3[[#This Row],[Transaction_Type]]="Outbound",WarehouseTransactions3[[#This Row],[Transaction_Value]],0)</f>
        <v>0</v>
      </c>
    </row>
    <row r="94" spans="1:26" x14ac:dyDescent="0.3">
      <c r="A94" s="9" t="s">
        <v>164</v>
      </c>
      <c r="B94" s="10">
        <v>46192</v>
      </c>
      <c r="C94" s="9" t="s">
        <v>72</v>
      </c>
      <c r="D94" s="11" t="s">
        <v>73</v>
      </c>
      <c r="E94" s="9" t="s">
        <v>47</v>
      </c>
      <c r="F94" s="9" t="s">
        <v>17</v>
      </c>
      <c r="G94" s="12">
        <v>65</v>
      </c>
      <c r="H94" s="11" t="s">
        <v>48</v>
      </c>
      <c r="I94" s="9" t="s">
        <v>74</v>
      </c>
      <c r="J94" s="12">
        <v>3100</v>
      </c>
      <c r="K94" s="12">
        <v>0</v>
      </c>
      <c r="L94" s="13">
        <v>2.7</v>
      </c>
      <c r="M94" s="9" t="s">
        <v>20</v>
      </c>
      <c r="N94" s="22">
        <f>DATE(YEAR(WarehouseTransactions3[[#This Row],[Date]]),MONTH(WarehouseTransactions3[[#This Row],[Date]]),1)</f>
        <v>46174</v>
      </c>
      <c r="O94" s="24">
        <f>WarehouseTransactions3[[#This Row],[Quantity]]*WarehouseTransactions3[[#This Row],[Unit_Cost]]</f>
        <v>201500</v>
      </c>
      <c r="P94" s="25">
        <f>WarehouseTransactions3[[#This Row],[Quantity]]-WarehouseTransactions3[[#This Row],[Damaged_Qty]]</f>
        <v>65</v>
      </c>
      <c r="Q94">
        <f>IF(WarehouseTransactions3[[#This Row],[Transaction_Type]]="Inbound",WarehouseTransactions3[[#This Row],[Quantity]],-WarehouseTransactions3[[#This Row],[Quantity]])</f>
        <v>65</v>
      </c>
      <c r="R94" s="26">
        <f>IFERROR(WarehouseTransactions3[[#This Row],[Damaged_Qty]]/WarehouseTransactions3[[#This Row],[Quantity]],0)</f>
        <v>0</v>
      </c>
      <c r="S94">
        <f>IF(WarehouseTransactions3[[#This Row],[Status]]="Delayed",1,0)</f>
        <v>0</v>
      </c>
      <c r="T94">
        <f>IF(WarehouseTransactions3[[#This Row],[Status]]="Pending",1,0)</f>
        <v>0</v>
      </c>
      <c r="U94" s="20">
        <f>IF(WarehouseTransactions3[[#This Row],[Processing_Time_Hours]]&gt;8,1,0)</f>
        <v>0</v>
      </c>
      <c r="V94" s="27">
        <f>WarehouseTransactions3[[#This Row],[Processing_Time_Hours]]/24</f>
        <v>0.1125</v>
      </c>
      <c r="W94" s="20">
        <f>IF(WarehouseTransactions3[[#This Row],[Transaction_Type]]="Inbound",WarehouseTransactions3[[#This Row],[Quantity]],0)</f>
        <v>65</v>
      </c>
      <c r="X94" s="20">
        <f>IF(WarehouseTransactions3[[#This Row],[Transaction_Type]]="Outbound",WarehouseTransactions3[[#This Row],[Quantity]],0)</f>
        <v>0</v>
      </c>
      <c r="Y94" s="24">
        <f>IF(WarehouseTransactions3[[#This Row],[Transaction_Type]]="Inbound",WarehouseTransactions3[[#This Row],[Transaction_Value]],0)</f>
        <v>201500</v>
      </c>
      <c r="Z94" s="24">
        <f>IF(WarehouseTransactions3[[#This Row],[Transaction_Type]]="Outbound",WarehouseTransactions3[[#This Row],[Transaction_Value]],0)</f>
        <v>0</v>
      </c>
    </row>
    <row r="95" spans="1:26" x14ac:dyDescent="0.3">
      <c r="A95" s="9" t="s">
        <v>165</v>
      </c>
      <c r="B95" s="10">
        <v>46192</v>
      </c>
      <c r="C95" s="9" t="s">
        <v>72</v>
      </c>
      <c r="D95" s="11" t="s">
        <v>73</v>
      </c>
      <c r="E95" s="9" t="s">
        <v>47</v>
      </c>
      <c r="F95" s="9" t="s">
        <v>17</v>
      </c>
      <c r="G95" s="12">
        <v>94</v>
      </c>
      <c r="H95" s="11" t="s">
        <v>48</v>
      </c>
      <c r="I95" s="9" t="s">
        <v>74</v>
      </c>
      <c r="J95" s="12">
        <v>3100</v>
      </c>
      <c r="K95" s="12">
        <v>0</v>
      </c>
      <c r="L95" s="13">
        <v>6.2</v>
      </c>
      <c r="M95" s="9" t="s">
        <v>20</v>
      </c>
      <c r="N95" s="22">
        <f>DATE(YEAR(WarehouseTransactions3[[#This Row],[Date]]),MONTH(WarehouseTransactions3[[#This Row],[Date]]),1)</f>
        <v>46174</v>
      </c>
      <c r="O95" s="24">
        <f>WarehouseTransactions3[[#This Row],[Quantity]]*WarehouseTransactions3[[#This Row],[Unit_Cost]]</f>
        <v>291400</v>
      </c>
      <c r="P95" s="25">
        <f>WarehouseTransactions3[[#This Row],[Quantity]]-WarehouseTransactions3[[#This Row],[Damaged_Qty]]</f>
        <v>94</v>
      </c>
      <c r="Q95">
        <f>IF(WarehouseTransactions3[[#This Row],[Transaction_Type]]="Inbound",WarehouseTransactions3[[#This Row],[Quantity]],-WarehouseTransactions3[[#This Row],[Quantity]])</f>
        <v>94</v>
      </c>
      <c r="R95" s="26">
        <f>IFERROR(WarehouseTransactions3[[#This Row],[Damaged_Qty]]/WarehouseTransactions3[[#This Row],[Quantity]],0)</f>
        <v>0</v>
      </c>
      <c r="S95">
        <f>IF(WarehouseTransactions3[[#This Row],[Status]]="Delayed",1,0)</f>
        <v>0</v>
      </c>
      <c r="T95">
        <f>IF(WarehouseTransactions3[[#This Row],[Status]]="Pending",1,0)</f>
        <v>0</v>
      </c>
      <c r="U95" s="20">
        <f>IF(WarehouseTransactions3[[#This Row],[Processing_Time_Hours]]&gt;8,1,0)</f>
        <v>0</v>
      </c>
      <c r="V95" s="27">
        <f>WarehouseTransactions3[[#This Row],[Processing_Time_Hours]]/24</f>
        <v>0.25833333333333336</v>
      </c>
      <c r="W95" s="20">
        <f>IF(WarehouseTransactions3[[#This Row],[Transaction_Type]]="Inbound",WarehouseTransactions3[[#This Row],[Quantity]],0)</f>
        <v>94</v>
      </c>
      <c r="X95" s="20">
        <f>IF(WarehouseTransactions3[[#This Row],[Transaction_Type]]="Outbound",WarehouseTransactions3[[#This Row],[Quantity]],0)</f>
        <v>0</v>
      </c>
      <c r="Y95" s="24">
        <f>IF(WarehouseTransactions3[[#This Row],[Transaction_Type]]="Inbound",WarehouseTransactions3[[#This Row],[Transaction_Value]],0)</f>
        <v>291400</v>
      </c>
      <c r="Z95" s="24">
        <f>IF(WarehouseTransactions3[[#This Row],[Transaction_Type]]="Outbound",WarehouseTransactions3[[#This Row],[Transaction_Value]],0)</f>
        <v>0</v>
      </c>
    </row>
    <row r="96" spans="1:26" x14ac:dyDescent="0.3">
      <c r="A96" s="9" t="s">
        <v>166</v>
      </c>
      <c r="B96" s="10">
        <v>46193</v>
      </c>
      <c r="C96" s="9" t="s">
        <v>141</v>
      </c>
      <c r="D96" s="11" t="s">
        <v>142</v>
      </c>
      <c r="E96" s="9" t="s">
        <v>47</v>
      </c>
      <c r="F96" s="9" t="s">
        <v>31</v>
      </c>
      <c r="G96" s="12">
        <v>72</v>
      </c>
      <c r="H96" s="11" t="s">
        <v>48</v>
      </c>
      <c r="I96" s="9" t="s">
        <v>74</v>
      </c>
      <c r="J96" s="12">
        <v>9800</v>
      </c>
      <c r="K96" s="12">
        <v>0</v>
      </c>
      <c r="L96" s="13">
        <v>14</v>
      </c>
      <c r="M96" s="9" t="s">
        <v>39</v>
      </c>
      <c r="N96" s="22">
        <f>DATE(YEAR(WarehouseTransactions3[[#This Row],[Date]]),MONTH(WarehouseTransactions3[[#This Row],[Date]]),1)</f>
        <v>46174</v>
      </c>
      <c r="O96" s="24">
        <f>WarehouseTransactions3[[#This Row],[Quantity]]*WarehouseTransactions3[[#This Row],[Unit_Cost]]</f>
        <v>705600</v>
      </c>
      <c r="P96" s="25">
        <f>WarehouseTransactions3[[#This Row],[Quantity]]-WarehouseTransactions3[[#This Row],[Damaged_Qty]]</f>
        <v>72</v>
      </c>
      <c r="Q96">
        <f>IF(WarehouseTransactions3[[#This Row],[Transaction_Type]]="Inbound",WarehouseTransactions3[[#This Row],[Quantity]],-WarehouseTransactions3[[#This Row],[Quantity]])</f>
        <v>-72</v>
      </c>
      <c r="R96" s="26">
        <f>IFERROR(WarehouseTransactions3[[#This Row],[Damaged_Qty]]/WarehouseTransactions3[[#This Row],[Quantity]],0)</f>
        <v>0</v>
      </c>
      <c r="S96">
        <f>IF(WarehouseTransactions3[[#This Row],[Status]]="Delayed",1,0)</f>
        <v>1</v>
      </c>
      <c r="T96">
        <f>IF(WarehouseTransactions3[[#This Row],[Status]]="Pending",1,0)</f>
        <v>0</v>
      </c>
      <c r="U96" s="20">
        <f>IF(WarehouseTransactions3[[#This Row],[Processing_Time_Hours]]&gt;8,1,0)</f>
        <v>1</v>
      </c>
      <c r="V96" s="27">
        <f>WarehouseTransactions3[[#This Row],[Processing_Time_Hours]]/24</f>
        <v>0.58333333333333337</v>
      </c>
      <c r="W96" s="20">
        <f>IF(WarehouseTransactions3[[#This Row],[Transaction_Type]]="Inbound",WarehouseTransactions3[[#This Row],[Quantity]],0)</f>
        <v>0</v>
      </c>
      <c r="X96" s="20">
        <f>IF(WarehouseTransactions3[[#This Row],[Transaction_Type]]="Outbound",WarehouseTransactions3[[#This Row],[Quantity]],0)</f>
        <v>72</v>
      </c>
      <c r="Y96" s="24">
        <f>IF(WarehouseTransactions3[[#This Row],[Transaction_Type]]="Inbound",WarehouseTransactions3[[#This Row],[Transaction_Value]],0)</f>
        <v>0</v>
      </c>
      <c r="Z96" s="24">
        <f>IF(WarehouseTransactions3[[#This Row],[Transaction_Type]]="Outbound",WarehouseTransactions3[[#This Row],[Transaction_Value]],0)</f>
        <v>705600</v>
      </c>
    </row>
    <row r="97" spans="1:26" x14ac:dyDescent="0.3">
      <c r="A97" s="9" t="s">
        <v>167</v>
      </c>
      <c r="B97" s="10">
        <v>46194</v>
      </c>
      <c r="C97" s="9" t="s">
        <v>45</v>
      </c>
      <c r="D97" s="11" t="s">
        <v>46</v>
      </c>
      <c r="E97" s="9" t="s">
        <v>47</v>
      </c>
      <c r="F97" s="9" t="s">
        <v>17</v>
      </c>
      <c r="G97" s="12">
        <v>63</v>
      </c>
      <c r="H97" s="11" t="s">
        <v>48</v>
      </c>
      <c r="I97" s="9" t="s">
        <v>49</v>
      </c>
      <c r="J97" s="12">
        <v>17200</v>
      </c>
      <c r="K97" s="12">
        <v>0</v>
      </c>
      <c r="L97" s="13">
        <v>1.7</v>
      </c>
      <c r="M97" s="9" t="s">
        <v>20</v>
      </c>
      <c r="N97" s="22">
        <f>DATE(YEAR(WarehouseTransactions3[[#This Row],[Date]]),MONTH(WarehouseTransactions3[[#This Row],[Date]]),1)</f>
        <v>46174</v>
      </c>
      <c r="O97" s="24">
        <f>WarehouseTransactions3[[#This Row],[Quantity]]*WarehouseTransactions3[[#This Row],[Unit_Cost]]</f>
        <v>1083600</v>
      </c>
      <c r="P97" s="25">
        <f>WarehouseTransactions3[[#This Row],[Quantity]]-WarehouseTransactions3[[#This Row],[Damaged_Qty]]</f>
        <v>63</v>
      </c>
      <c r="Q97">
        <f>IF(WarehouseTransactions3[[#This Row],[Transaction_Type]]="Inbound",WarehouseTransactions3[[#This Row],[Quantity]],-WarehouseTransactions3[[#This Row],[Quantity]])</f>
        <v>63</v>
      </c>
      <c r="R97" s="26">
        <f>IFERROR(WarehouseTransactions3[[#This Row],[Damaged_Qty]]/WarehouseTransactions3[[#This Row],[Quantity]],0)</f>
        <v>0</v>
      </c>
      <c r="S97">
        <f>IF(WarehouseTransactions3[[#This Row],[Status]]="Delayed",1,0)</f>
        <v>0</v>
      </c>
      <c r="T97">
        <f>IF(WarehouseTransactions3[[#This Row],[Status]]="Pending",1,0)</f>
        <v>0</v>
      </c>
      <c r="U97" s="20">
        <f>IF(WarehouseTransactions3[[#This Row],[Processing_Time_Hours]]&gt;8,1,0)</f>
        <v>0</v>
      </c>
      <c r="V97" s="27">
        <f>WarehouseTransactions3[[#This Row],[Processing_Time_Hours]]/24</f>
        <v>7.0833333333333331E-2</v>
      </c>
      <c r="W97" s="20">
        <f>IF(WarehouseTransactions3[[#This Row],[Transaction_Type]]="Inbound",WarehouseTransactions3[[#This Row],[Quantity]],0)</f>
        <v>63</v>
      </c>
      <c r="X97" s="20">
        <f>IF(WarehouseTransactions3[[#This Row],[Transaction_Type]]="Outbound",WarehouseTransactions3[[#This Row],[Quantity]],0)</f>
        <v>0</v>
      </c>
      <c r="Y97" s="24">
        <f>IF(WarehouseTransactions3[[#This Row],[Transaction_Type]]="Inbound",WarehouseTransactions3[[#This Row],[Transaction_Value]],0)</f>
        <v>1083600</v>
      </c>
      <c r="Z97" s="24">
        <f>IF(WarehouseTransactions3[[#This Row],[Transaction_Type]]="Outbound",WarehouseTransactions3[[#This Row],[Transaction_Value]],0)</f>
        <v>0</v>
      </c>
    </row>
    <row r="98" spans="1:26" x14ac:dyDescent="0.3">
      <c r="A98" s="9" t="s">
        <v>168</v>
      </c>
      <c r="B98" s="10">
        <v>46196</v>
      </c>
      <c r="C98" s="9" t="s">
        <v>45</v>
      </c>
      <c r="D98" s="11" t="s">
        <v>46</v>
      </c>
      <c r="E98" s="9" t="s">
        <v>47</v>
      </c>
      <c r="F98" s="9" t="s">
        <v>17</v>
      </c>
      <c r="G98" s="12">
        <v>100</v>
      </c>
      <c r="H98" s="11" t="s">
        <v>48</v>
      </c>
      <c r="I98" s="9" t="s">
        <v>49</v>
      </c>
      <c r="J98" s="12">
        <v>17200</v>
      </c>
      <c r="K98" s="12">
        <v>0</v>
      </c>
      <c r="L98" s="13">
        <v>5.5</v>
      </c>
      <c r="M98" s="9" t="s">
        <v>20</v>
      </c>
      <c r="N98" s="22">
        <f>DATE(YEAR(WarehouseTransactions3[[#This Row],[Date]]),MONTH(WarehouseTransactions3[[#This Row],[Date]]),1)</f>
        <v>46174</v>
      </c>
      <c r="O98" s="24">
        <f>WarehouseTransactions3[[#This Row],[Quantity]]*WarehouseTransactions3[[#This Row],[Unit_Cost]]</f>
        <v>1720000</v>
      </c>
      <c r="P98" s="25">
        <f>WarehouseTransactions3[[#This Row],[Quantity]]-WarehouseTransactions3[[#This Row],[Damaged_Qty]]</f>
        <v>100</v>
      </c>
      <c r="Q98">
        <f>IF(WarehouseTransactions3[[#This Row],[Transaction_Type]]="Inbound",WarehouseTransactions3[[#This Row],[Quantity]],-WarehouseTransactions3[[#This Row],[Quantity]])</f>
        <v>100</v>
      </c>
      <c r="R98" s="26">
        <f>IFERROR(WarehouseTransactions3[[#This Row],[Damaged_Qty]]/WarehouseTransactions3[[#This Row],[Quantity]],0)</f>
        <v>0</v>
      </c>
      <c r="S98">
        <f>IF(WarehouseTransactions3[[#This Row],[Status]]="Delayed",1,0)</f>
        <v>0</v>
      </c>
      <c r="T98">
        <f>IF(WarehouseTransactions3[[#This Row],[Status]]="Pending",1,0)</f>
        <v>0</v>
      </c>
      <c r="U98" s="20">
        <f>IF(WarehouseTransactions3[[#This Row],[Processing_Time_Hours]]&gt;8,1,0)</f>
        <v>0</v>
      </c>
      <c r="V98" s="27">
        <f>WarehouseTransactions3[[#This Row],[Processing_Time_Hours]]/24</f>
        <v>0.22916666666666666</v>
      </c>
      <c r="W98" s="20">
        <f>IF(WarehouseTransactions3[[#This Row],[Transaction_Type]]="Inbound",WarehouseTransactions3[[#This Row],[Quantity]],0)</f>
        <v>100</v>
      </c>
      <c r="X98" s="20">
        <f>IF(WarehouseTransactions3[[#This Row],[Transaction_Type]]="Outbound",WarehouseTransactions3[[#This Row],[Quantity]],0)</f>
        <v>0</v>
      </c>
      <c r="Y98" s="24">
        <f>IF(WarehouseTransactions3[[#This Row],[Transaction_Type]]="Inbound",WarehouseTransactions3[[#This Row],[Transaction_Value]],0)</f>
        <v>1720000</v>
      </c>
      <c r="Z98" s="24">
        <f>IF(WarehouseTransactions3[[#This Row],[Transaction_Type]]="Outbound",WarehouseTransactions3[[#This Row],[Transaction_Value]],0)</f>
        <v>0</v>
      </c>
    </row>
    <row r="99" spans="1:26" x14ac:dyDescent="0.3">
      <c r="A99" s="9" t="s">
        <v>169</v>
      </c>
      <c r="B99" s="10">
        <v>46197</v>
      </c>
      <c r="C99" s="9" t="s">
        <v>65</v>
      </c>
      <c r="D99" s="11" t="s">
        <v>66</v>
      </c>
      <c r="E99" s="9" t="s">
        <v>16</v>
      </c>
      <c r="F99" s="9" t="s">
        <v>31</v>
      </c>
      <c r="G99" s="12">
        <v>85</v>
      </c>
      <c r="H99" s="11" t="s">
        <v>18</v>
      </c>
      <c r="I99" s="9" t="s">
        <v>67</v>
      </c>
      <c r="J99" s="12">
        <v>12400</v>
      </c>
      <c r="K99" s="12">
        <v>0</v>
      </c>
      <c r="L99" s="13">
        <v>5.3</v>
      </c>
      <c r="M99" s="9" t="s">
        <v>20</v>
      </c>
      <c r="N99" s="22">
        <f>DATE(YEAR(WarehouseTransactions3[[#This Row],[Date]]),MONTH(WarehouseTransactions3[[#This Row],[Date]]),1)</f>
        <v>46174</v>
      </c>
      <c r="O99" s="24">
        <f>WarehouseTransactions3[[#This Row],[Quantity]]*WarehouseTransactions3[[#This Row],[Unit_Cost]]</f>
        <v>1054000</v>
      </c>
      <c r="P99" s="25">
        <f>WarehouseTransactions3[[#This Row],[Quantity]]-WarehouseTransactions3[[#This Row],[Damaged_Qty]]</f>
        <v>85</v>
      </c>
      <c r="Q99">
        <f>IF(WarehouseTransactions3[[#This Row],[Transaction_Type]]="Inbound",WarehouseTransactions3[[#This Row],[Quantity]],-WarehouseTransactions3[[#This Row],[Quantity]])</f>
        <v>-85</v>
      </c>
      <c r="R99" s="26">
        <f>IFERROR(WarehouseTransactions3[[#This Row],[Damaged_Qty]]/WarehouseTransactions3[[#This Row],[Quantity]],0)</f>
        <v>0</v>
      </c>
      <c r="S99">
        <f>IF(WarehouseTransactions3[[#This Row],[Status]]="Delayed",1,0)</f>
        <v>0</v>
      </c>
      <c r="T99">
        <f>IF(WarehouseTransactions3[[#This Row],[Status]]="Pending",1,0)</f>
        <v>0</v>
      </c>
      <c r="U99" s="20">
        <f>IF(WarehouseTransactions3[[#This Row],[Processing_Time_Hours]]&gt;8,1,0)</f>
        <v>0</v>
      </c>
      <c r="V99" s="27">
        <f>WarehouseTransactions3[[#This Row],[Processing_Time_Hours]]/24</f>
        <v>0.22083333333333333</v>
      </c>
      <c r="W99" s="20">
        <f>IF(WarehouseTransactions3[[#This Row],[Transaction_Type]]="Inbound",WarehouseTransactions3[[#This Row],[Quantity]],0)</f>
        <v>0</v>
      </c>
      <c r="X99" s="20">
        <f>IF(WarehouseTransactions3[[#This Row],[Transaction_Type]]="Outbound",WarehouseTransactions3[[#This Row],[Quantity]],0)</f>
        <v>85</v>
      </c>
      <c r="Y99" s="24">
        <f>IF(WarehouseTransactions3[[#This Row],[Transaction_Type]]="Inbound",WarehouseTransactions3[[#This Row],[Transaction_Value]],0)</f>
        <v>0</v>
      </c>
      <c r="Z99" s="24">
        <f>IF(WarehouseTransactions3[[#This Row],[Transaction_Type]]="Outbound",WarehouseTransactions3[[#This Row],[Transaction_Value]],0)</f>
        <v>1054000</v>
      </c>
    </row>
    <row r="100" spans="1:26" x14ac:dyDescent="0.3">
      <c r="A100" s="9" t="s">
        <v>170</v>
      </c>
      <c r="B100" s="10">
        <v>46200</v>
      </c>
      <c r="C100" s="9" t="s">
        <v>121</v>
      </c>
      <c r="D100" s="11" t="s">
        <v>122</v>
      </c>
      <c r="E100" s="9" t="s">
        <v>24</v>
      </c>
      <c r="F100" s="9" t="s">
        <v>31</v>
      </c>
      <c r="G100" s="12">
        <v>82</v>
      </c>
      <c r="H100" s="11" t="s">
        <v>25</v>
      </c>
      <c r="I100" s="9" t="s">
        <v>58</v>
      </c>
      <c r="J100" s="12">
        <v>18500</v>
      </c>
      <c r="K100" s="12">
        <v>0</v>
      </c>
      <c r="L100" s="13">
        <v>6.2</v>
      </c>
      <c r="M100" s="9" t="s">
        <v>20</v>
      </c>
      <c r="N100" s="22">
        <f>DATE(YEAR(WarehouseTransactions3[[#This Row],[Date]]),MONTH(WarehouseTransactions3[[#This Row],[Date]]),1)</f>
        <v>46174</v>
      </c>
      <c r="O100" s="24">
        <f>WarehouseTransactions3[[#This Row],[Quantity]]*WarehouseTransactions3[[#This Row],[Unit_Cost]]</f>
        <v>1517000</v>
      </c>
      <c r="P100" s="25">
        <f>WarehouseTransactions3[[#This Row],[Quantity]]-WarehouseTransactions3[[#This Row],[Damaged_Qty]]</f>
        <v>82</v>
      </c>
      <c r="Q100">
        <f>IF(WarehouseTransactions3[[#This Row],[Transaction_Type]]="Inbound",WarehouseTransactions3[[#This Row],[Quantity]],-WarehouseTransactions3[[#This Row],[Quantity]])</f>
        <v>-82</v>
      </c>
      <c r="R100" s="26">
        <f>IFERROR(WarehouseTransactions3[[#This Row],[Damaged_Qty]]/WarehouseTransactions3[[#This Row],[Quantity]],0)</f>
        <v>0</v>
      </c>
      <c r="S100">
        <f>IF(WarehouseTransactions3[[#This Row],[Status]]="Delayed",1,0)</f>
        <v>0</v>
      </c>
      <c r="T100">
        <f>IF(WarehouseTransactions3[[#This Row],[Status]]="Pending",1,0)</f>
        <v>0</v>
      </c>
      <c r="U100" s="20">
        <f>IF(WarehouseTransactions3[[#This Row],[Processing_Time_Hours]]&gt;8,1,0)</f>
        <v>0</v>
      </c>
      <c r="V100" s="27">
        <f>WarehouseTransactions3[[#This Row],[Processing_Time_Hours]]/24</f>
        <v>0.25833333333333336</v>
      </c>
      <c r="W100" s="20">
        <f>IF(WarehouseTransactions3[[#This Row],[Transaction_Type]]="Inbound",WarehouseTransactions3[[#This Row],[Quantity]],0)</f>
        <v>0</v>
      </c>
      <c r="X100" s="20">
        <f>IF(WarehouseTransactions3[[#This Row],[Transaction_Type]]="Outbound",WarehouseTransactions3[[#This Row],[Quantity]],0)</f>
        <v>82</v>
      </c>
      <c r="Y100" s="24">
        <f>IF(WarehouseTransactions3[[#This Row],[Transaction_Type]]="Inbound",WarehouseTransactions3[[#This Row],[Transaction_Value]],0)</f>
        <v>0</v>
      </c>
      <c r="Z100" s="24">
        <f>IF(WarehouseTransactions3[[#This Row],[Transaction_Type]]="Outbound",WarehouseTransactions3[[#This Row],[Transaction_Value]],0)</f>
        <v>1517000</v>
      </c>
    </row>
    <row r="101" spans="1:26" x14ac:dyDescent="0.3">
      <c r="A101" s="14" t="s">
        <v>171</v>
      </c>
      <c r="B101" s="15">
        <v>46200</v>
      </c>
      <c r="C101" s="14" t="s">
        <v>108</v>
      </c>
      <c r="D101" s="16" t="s">
        <v>109</v>
      </c>
      <c r="E101" s="14" t="s">
        <v>36</v>
      </c>
      <c r="F101" s="14" t="s">
        <v>31</v>
      </c>
      <c r="G101" s="17">
        <v>67</v>
      </c>
      <c r="H101" s="16" t="s">
        <v>37</v>
      </c>
      <c r="I101" s="14" t="s">
        <v>38</v>
      </c>
      <c r="J101" s="17">
        <v>28500</v>
      </c>
      <c r="K101" s="17">
        <v>5</v>
      </c>
      <c r="L101" s="18">
        <v>5.5</v>
      </c>
      <c r="M101" s="14" t="s">
        <v>20</v>
      </c>
      <c r="N101" s="22">
        <f>DATE(YEAR(WarehouseTransactions3[[#This Row],[Date]]),MONTH(WarehouseTransactions3[[#This Row],[Date]]),1)</f>
        <v>46174</v>
      </c>
      <c r="O101" s="24">
        <f>WarehouseTransactions3[[#This Row],[Quantity]]*WarehouseTransactions3[[#This Row],[Unit_Cost]]</f>
        <v>1909500</v>
      </c>
      <c r="P101" s="25">
        <f>WarehouseTransactions3[[#This Row],[Quantity]]-WarehouseTransactions3[[#This Row],[Damaged_Qty]]</f>
        <v>62</v>
      </c>
      <c r="Q101">
        <f>IF(WarehouseTransactions3[[#This Row],[Transaction_Type]]="Inbound",WarehouseTransactions3[[#This Row],[Quantity]],-WarehouseTransactions3[[#This Row],[Quantity]])</f>
        <v>-67</v>
      </c>
      <c r="R101" s="26">
        <f>IFERROR(WarehouseTransactions3[[#This Row],[Damaged_Qty]]/WarehouseTransactions3[[#This Row],[Quantity]],0)</f>
        <v>7.4626865671641784E-2</v>
      </c>
      <c r="S101">
        <f>IF(WarehouseTransactions3[[#This Row],[Status]]="Delayed",1,0)</f>
        <v>0</v>
      </c>
      <c r="T101">
        <f>IF(WarehouseTransactions3[[#This Row],[Status]]="Pending",1,0)</f>
        <v>0</v>
      </c>
      <c r="U101" s="20">
        <f>IF(WarehouseTransactions3[[#This Row],[Processing_Time_Hours]]&gt;8,1,0)</f>
        <v>0</v>
      </c>
      <c r="V101" s="27">
        <f>WarehouseTransactions3[[#This Row],[Processing_Time_Hours]]/24</f>
        <v>0.22916666666666666</v>
      </c>
      <c r="W101" s="20">
        <f>IF(WarehouseTransactions3[[#This Row],[Transaction_Type]]="Inbound",WarehouseTransactions3[[#This Row],[Quantity]],0)</f>
        <v>0</v>
      </c>
      <c r="X101" s="20">
        <f>IF(WarehouseTransactions3[[#This Row],[Transaction_Type]]="Outbound",WarehouseTransactions3[[#This Row],[Quantity]],0)</f>
        <v>67</v>
      </c>
      <c r="Y101" s="24">
        <f>IF(WarehouseTransactions3[[#This Row],[Transaction_Type]]="Inbound",WarehouseTransactions3[[#This Row],[Transaction_Value]],0)</f>
        <v>0</v>
      </c>
      <c r="Z101" s="24">
        <f>IF(WarehouseTransactions3[[#This Row],[Transaction_Type]]="Outbound",WarehouseTransactions3[[#This Row],[Transaction_Value]],0)</f>
        <v>1909500</v>
      </c>
    </row>
  </sheetData>
  <conditionalFormatting sqref="K2:K101">
    <cfRule type="cellIs" dxfId="2" priority="6" operator="greaterThan">
      <formula>0</formula>
    </cfRule>
  </conditionalFormatting>
  <conditionalFormatting sqref="M2:M101">
    <cfRule type="cellIs" dxfId="1" priority="1" operator="equal">
      <formula>"Pending"</formula>
    </cfRule>
    <cfRule type="cellIs" dxfId="0" priority="2" operator="equal">
      <formula>"Delayed"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45F1-F15A-49A2-A3B2-DB45D3B467BC}">
  <dimension ref="A2:Q77"/>
  <sheetViews>
    <sheetView topLeftCell="A7" workbookViewId="0">
      <selection activeCell="E18" sqref="E18"/>
    </sheetView>
  </sheetViews>
  <sheetFormatPr defaultRowHeight="14.4" x14ac:dyDescent="0.3"/>
  <cols>
    <col min="1" max="1" width="25.44140625" bestFit="1" customWidth="1"/>
    <col min="2" max="2" width="21.6640625" bestFit="1" customWidth="1"/>
    <col min="3" max="3" width="20.33203125" bestFit="1" customWidth="1"/>
    <col min="4" max="5" width="31" bestFit="1" customWidth="1"/>
    <col min="6" max="6" width="20.6640625" bestFit="1" customWidth="1"/>
    <col min="7" max="7" width="22.21875" bestFit="1" customWidth="1"/>
    <col min="8" max="8" width="18.44140625" bestFit="1" customWidth="1"/>
    <col min="9" max="9" width="19.6640625" bestFit="1" customWidth="1"/>
    <col min="10" max="10" width="31" bestFit="1" customWidth="1"/>
    <col min="16" max="16" width="7.21875" bestFit="1" customWidth="1"/>
    <col min="17" max="17" width="7.6640625" bestFit="1" customWidth="1"/>
  </cols>
  <sheetData>
    <row r="2" spans="1:17" x14ac:dyDescent="0.3">
      <c r="A2" s="29" t="s">
        <v>200</v>
      </c>
      <c r="P2" s="21" t="s">
        <v>175</v>
      </c>
      <c r="Q2" s="21" t="s">
        <v>17</v>
      </c>
    </row>
    <row r="3" spans="1:17" x14ac:dyDescent="0.3">
      <c r="A3" s="19" t="s">
        <v>207</v>
      </c>
      <c r="B3" s="19" t="s">
        <v>208</v>
      </c>
      <c r="C3" s="19" t="s">
        <v>175</v>
      </c>
      <c r="D3" t="s">
        <v>194</v>
      </c>
      <c r="E3" t="s">
        <v>195</v>
      </c>
      <c r="F3" t="s">
        <v>196</v>
      </c>
      <c r="G3" t="s">
        <v>197</v>
      </c>
      <c r="H3" t="s">
        <v>174</v>
      </c>
      <c r="I3" t="s">
        <v>198</v>
      </c>
      <c r="J3" t="s">
        <v>199</v>
      </c>
    </row>
    <row r="4" spans="1:17" x14ac:dyDescent="0.3">
      <c r="A4" t="s">
        <v>188</v>
      </c>
      <c r="D4" s="20">
        <v>664</v>
      </c>
      <c r="E4" s="20">
        <v>124</v>
      </c>
      <c r="F4" s="24">
        <v>19406900</v>
      </c>
      <c r="G4" s="24">
        <v>2413200</v>
      </c>
      <c r="H4" s="20">
        <v>17</v>
      </c>
      <c r="I4" s="20">
        <v>3</v>
      </c>
      <c r="J4" s="28">
        <v>6.329411764705883</v>
      </c>
      <c r="P4" s="30" t="s">
        <v>220</v>
      </c>
      <c r="Q4" cm="1">
        <f t="array" ref="Q4:Q9">D4:D9</f>
        <v>664</v>
      </c>
    </row>
    <row r="5" spans="1:17" x14ac:dyDescent="0.3">
      <c r="A5" t="s">
        <v>189</v>
      </c>
      <c r="D5" s="20">
        <v>591</v>
      </c>
      <c r="E5" s="20">
        <v>559</v>
      </c>
      <c r="F5" s="24">
        <v>13486600</v>
      </c>
      <c r="G5" s="24">
        <v>12743900</v>
      </c>
      <c r="H5" s="20">
        <v>17</v>
      </c>
      <c r="I5" s="20">
        <v>3</v>
      </c>
      <c r="J5" s="28">
        <v>4.7705882352941185</v>
      </c>
      <c r="P5" s="31" t="s">
        <v>221</v>
      </c>
      <c r="Q5">
        <v>591</v>
      </c>
    </row>
    <row r="6" spans="1:17" x14ac:dyDescent="0.3">
      <c r="A6" t="s">
        <v>190</v>
      </c>
      <c r="D6" s="20">
        <v>434</v>
      </c>
      <c r="E6" s="20">
        <v>489</v>
      </c>
      <c r="F6" s="24">
        <v>12257800</v>
      </c>
      <c r="G6" s="24">
        <v>10117200</v>
      </c>
      <c r="H6" s="20">
        <v>16</v>
      </c>
      <c r="I6" s="20">
        <v>11</v>
      </c>
      <c r="J6" s="28">
        <v>5.6875</v>
      </c>
      <c r="P6" s="31" t="s">
        <v>222</v>
      </c>
      <c r="Q6">
        <v>434</v>
      </c>
    </row>
    <row r="7" spans="1:17" x14ac:dyDescent="0.3">
      <c r="A7" t="s">
        <v>191</v>
      </c>
      <c r="D7" s="20">
        <v>488</v>
      </c>
      <c r="E7" s="20">
        <v>468</v>
      </c>
      <c r="F7" s="24">
        <v>5866300</v>
      </c>
      <c r="G7" s="24">
        <v>6745600</v>
      </c>
      <c r="H7" s="20">
        <v>17</v>
      </c>
      <c r="I7" s="20">
        <v>9</v>
      </c>
      <c r="J7" s="28">
        <v>4.7470588235294109</v>
      </c>
      <c r="P7" s="31" t="s">
        <v>223</v>
      </c>
      <c r="Q7">
        <v>488</v>
      </c>
    </row>
    <row r="8" spans="1:17" x14ac:dyDescent="0.3">
      <c r="A8" t="s">
        <v>192</v>
      </c>
      <c r="D8" s="20">
        <v>255</v>
      </c>
      <c r="E8" s="20">
        <v>567</v>
      </c>
      <c r="F8" s="24">
        <v>2757900</v>
      </c>
      <c r="G8" s="24">
        <v>12145200</v>
      </c>
      <c r="H8" s="20">
        <v>17</v>
      </c>
      <c r="I8" s="20">
        <v>2</v>
      </c>
      <c r="J8" s="28">
        <v>5.9235294117647062</v>
      </c>
      <c r="P8" s="31" t="s">
        <v>224</v>
      </c>
      <c r="Q8">
        <v>255</v>
      </c>
    </row>
    <row r="9" spans="1:17" x14ac:dyDescent="0.3">
      <c r="A9" t="s">
        <v>193</v>
      </c>
      <c r="D9" s="20">
        <v>554</v>
      </c>
      <c r="E9" s="20">
        <v>511</v>
      </c>
      <c r="F9" s="24">
        <v>6816100</v>
      </c>
      <c r="G9" s="24">
        <v>8214400</v>
      </c>
      <c r="H9" s="20">
        <v>16</v>
      </c>
      <c r="I9" s="20">
        <v>6</v>
      </c>
      <c r="J9" s="28">
        <v>4.9250000000000007</v>
      </c>
      <c r="P9" s="31" t="s">
        <v>225</v>
      </c>
      <c r="Q9">
        <v>554</v>
      </c>
    </row>
    <row r="10" spans="1:17" x14ac:dyDescent="0.3">
      <c r="A10" t="s">
        <v>172</v>
      </c>
      <c r="D10" s="20">
        <v>2986</v>
      </c>
      <c r="E10" s="20">
        <v>2718</v>
      </c>
      <c r="F10" s="24">
        <v>60591600</v>
      </c>
      <c r="G10" s="24">
        <v>52379500</v>
      </c>
      <c r="H10" s="20">
        <v>100</v>
      </c>
      <c r="I10" s="20">
        <v>34</v>
      </c>
      <c r="J10" s="28">
        <v>5.3990000000000009</v>
      </c>
    </row>
    <row r="13" spans="1:17" x14ac:dyDescent="0.3">
      <c r="A13" s="29" t="s">
        <v>201</v>
      </c>
    </row>
    <row r="14" spans="1:17" x14ac:dyDescent="0.3">
      <c r="A14" s="19" t="s">
        <v>3</v>
      </c>
      <c r="B14" s="19" t="s">
        <v>4</v>
      </c>
      <c r="C14" t="s">
        <v>194</v>
      </c>
      <c r="D14" t="s">
        <v>195</v>
      </c>
      <c r="E14" t="s">
        <v>202</v>
      </c>
    </row>
    <row r="15" spans="1:17" x14ac:dyDescent="0.3">
      <c r="A15" t="s">
        <v>66</v>
      </c>
      <c r="B15" t="s">
        <v>16</v>
      </c>
      <c r="C15" s="20">
        <v>158</v>
      </c>
      <c r="D15" s="20">
        <v>467</v>
      </c>
      <c r="E15" s="20">
        <v>625</v>
      </c>
    </row>
    <row r="16" spans="1:17" x14ac:dyDescent="0.3">
      <c r="A16" t="s">
        <v>73</v>
      </c>
      <c r="B16" t="s">
        <v>47</v>
      </c>
      <c r="C16" s="20">
        <v>372</v>
      </c>
      <c r="D16" s="20">
        <v>87</v>
      </c>
      <c r="E16" s="20">
        <v>459</v>
      </c>
    </row>
    <row r="17" spans="1:5" x14ac:dyDescent="0.3">
      <c r="A17" t="s">
        <v>78</v>
      </c>
      <c r="B17" t="s">
        <v>30</v>
      </c>
      <c r="C17" s="20">
        <v>155</v>
      </c>
      <c r="D17" s="20">
        <v>267</v>
      </c>
      <c r="E17" s="20">
        <v>422</v>
      </c>
    </row>
    <row r="18" spans="1:5" x14ac:dyDescent="0.3">
      <c r="A18" t="s">
        <v>70</v>
      </c>
      <c r="B18" t="s">
        <v>16</v>
      </c>
      <c r="C18" s="20">
        <v>314</v>
      </c>
      <c r="D18" s="20">
        <v>106</v>
      </c>
      <c r="E18" s="20">
        <v>420</v>
      </c>
    </row>
    <row r="19" spans="1:5" x14ac:dyDescent="0.3">
      <c r="A19" t="s">
        <v>101</v>
      </c>
      <c r="B19" t="s">
        <v>30</v>
      </c>
      <c r="C19" s="20">
        <v>169</v>
      </c>
      <c r="D19" s="20">
        <v>237</v>
      </c>
      <c r="E19" s="20">
        <v>406</v>
      </c>
    </row>
    <row r="20" spans="1:5" x14ac:dyDescent="0.3">
      <c r="A20" t="s">
        <v>42</v>
      </c>
      <c r="B20" t="s">
        <v>16</v>
      </c>
      <c r="C20" s="20">
        <v>262</v>
      </c>
      <c r="D20" s="20">
        <v>119</v>
      </c>
      <c r="E20" s="20">
        <v>381</v>
      </c>
    </row>
    <row r="21" spans="1:5" x14ac:dyDescent="0.3">
      <c r="A21" t="s">
        <v>15</v>
      </c>
      <c r="B21" t="s">
        <v>16</v>
      </c>
      <c r="C21" s="20">
        <v>276</v>
      </c>
      <c r="D21" s="20">
        <v>97</v>
      </c>
      <c r="E21" s="20">
        <v>373</v>
      </c>
    </row>
    <row r="22" spans="1:5" x14ac:dyDescent="0.3">
      <c r="A22" t="s">
        <v>23</v>
      </c>
      <c r="B22" t="s">
        <v>24</v>
      </c>
      <c r="C22" s="20">
        <v>94</v>
      </c>
      <c r="D22" s="20">
        <v>256</v>
      </c>
      <c r="E22" s="20">
        <v>350</v>
      </c>
    </row>
    <row r="23" spans="1:5" x14ac:dyDescent="0.3">
      <c r="A23" t="s">
        <v>172</v>
      </c>
      <c r="C23" s="20">
        <v>1800</v>
      </c>
      <c r="D23" s="20">
        <v>1636</v>
      </c>
      <c r="E23" s="20">
        <v>3436</v>
      </c>
    </row>
    <row r="36" spans="1:6" x14ac:dyDescent="0.3">
      <c r="A36" s="29" t="s">
        <v>203</v>
      </c>
    </row>
    <row r="37" spans="1:6" x14ac:dyDescent="0.3">
      <c r="A37" s="19" t="s">
        <v>4</v>
      </c>
      <c r="B37" t="s">
        <v>194</v>
      </c>
      <c r="C37" t="s">
        <v>195</v>
      </c>
      <c r="D37" t="s">
        <v>202</v>
      </c>
      <c r="E37" t="s">
        <v>204</v>
      </c>
    </row>
    <row r="38" spans="1:6" x14ac:dyDescent="0.3">
      <c r="A38" t="s">
        <v>16</v>
      </c>
      <c r="B38" s="20">
        <v>1010</v>
      </c>
      <c r="C38" s="20">
        <v>789</v>
      </c>
      <c r="D38" s="20">
        <v>1799</v>
      </c>
      <c r="E38" s="23">
        <v>34215000</v>
      </c>
    </row>
    <row r="39" spans="1:6" x14ac:dyDescent="0.3">
      <c r="A39" t="s">
        <v>30</v>
      </c>
      <c r="B39" s="20">
        <v>497</v>
      </c>
      <c r="C39" s="20">
        <v>571</v>
      </c>
      <c r="D39" s="20">
        <v>1068</v>
      </c>
      <c r="E39" s="23">
        <v>41505800</v>
      </c>
    </row>
    <row r="40" spans="1:6" x14ac:dyDescent="0.3">
      <c r="A40" t="s">
        <v>36</v>
      </c>
      <c r="B40" s="20">
        <v>232</v>
      </c>
      <c r="C40" s="20">
        <v>549</v>
      </c>
      <c r="D40" s="20">
        <v>781</v>
      </c>
      <c r="E40" s="23">
        <v>15763800</v>
      </c>
    </row>
    <row r="41" spans="1:6" x14ac:dyDescent="0.3">
      <c r="A41" t="s">
        <v>47</v>
      </c>
      <c r="B41" s="20">
        <v>988</v>
      </c>
      <c r="C41" s="20">
        <v>159</v>
      </c>
      <c r="D41" s="20">
        <v>1147</v>
      </c>
      <c r="E41" s="23">
        <v>11677300</v>
      </c>
    </row>
    <row r="42" spans="1:6" x14ac:dyDescent="0.3">
      <c r="A42" t="s">
        <v>24</v>
      </c>
      <c r="B42" s="20">
        <v>259</v>
      </c>
      <c r="C42" s="20">
        <v>650</v>
      </c>
      <c r="D42" s="20">
        <v>909</v>
      </c>
      <c r="E42" s="23">
        <v>9809200</v>
      </c>
    </row>
    <row r="43" spans="1:6" x14ac:dyDescent="0.3">
      <c r="A43" t="s">
        <v>172</v>
      </c>
      <c r="B43" s="20">
        <v>2986</v>
      </c>
      <c r="C43" s="20">
        <v>2718</v>
      </c>
      <c r="D43" s="20">
        <v>5704</v>
      </c>
      <c r="E43" s="20">
        <v>112971100</v>
      </c>
    </row>
    <row r="46" spans="1:6" x14ac:dyDescent="0.3">
      <c r="A46" s="29" t="s">
        <v>205</v>
      </c>
    </row>
    <row r="47" spans="1:6" x14ac:dyDescent="0.3">
      <c r="A47" s="19" t="s">
        <v>7</v>
      </c>
      <c r="B47" t="s">
        <v>173</v>
      </c>
      <c r="C47" t="s">
        <v>202</v>
      </c>
      <c r="D47" t="s">
        <v>198</v>
      </c>
      <c r="E47" t="s">
        <v>199</v>
      </c>
      <c r="F47" s="29"/>
    </row>
    <row r="48" spans="1:6" x14ac:dyDescent="0.3">
      <c r="A48" t="s">
        <v>48</v>
      </c>
      <c r="B48" s="20">
        <v>19</v>
      </c>
      <c r="C48" s="20">
        <v>1147</v>
      </c>
      <c r="D48" s="20">
        <v>7</v>
      </c>
      <c r="E48" s="28">
        <v>5.5947368421052639</v>
      </c>
    </row>
    <row r="49" spans="1:5" x14ac:dyDescent="0.3">
      <c r="A49" t="s">
        <v>18</v>
      </c>
      <c r="B49" s="20">
        <v>30</v>
      </c>
      <c r="C49" s="20">
        <v>1799</v>
      </c>
      <c r="D49" s="20">
        <v>1</v>
      </c>
      <c r="E49" s="28">
        <v>5.48</v>
      </c>
    </row>
    <row r="50" spans="1:5" x14ac:dyDescent="0.3">
      <c r="A50" t="s">
        <v>37</v>
      </c>
      <c r="B50" s="20">
        <v>19</v>
      </c>
      <c r="C50" s="20">
        <v>781</v>
      </c>
      <c r="D50" s="20">
        <v>12</v>
      </c>
      <c r="E50" s="28">
        <v>6.1578947368421053</v>
      </c>
    </row>
    <row r="51" spans="1:5" x14ac:dyDescent="0.3">
      <c r="A51" t="s">
        <v>32</v>
      </c>
      <c r="B51" s="20">
        <v>17</v>
      </c>
      <c r="C51" s="20">
        <v>1068</v>
      </c>
      <c r="D51" s="20">
        <v>13</v>
      </c>
      <c r="E51" s="28">
        <v>5.2294117647058833</v>
      </c>
    </row>
    <row r="52" spans="1:5" x14ac:dyDescent="0.3">
      <c r="A52" t="s">
        <v>25</v>
      </c>
      <c r="B52" s="20">
        <v>15</v>
      </c>
      <c r="C52" s="20">
        <v>909</v>
      </c>
      <c r="D52" s="20">
        <v>1</v>
      </c>
      <c r="E52" s="28">
        <v>4.2200000000000006</v>
      </c>
    </row>
    <row r="53" spans="1:5" x14ac:dyDescent="0.3">
      <c r="A53" t="s">
        <v>172</v>
      </c>
      <c r="B53" s="20">
        <v>100</v>
      </c>
      <c r="C53" s="20">
        <v>5704</v>
      </c>
      <c r="D53" s="20">
        <v>34</v>
      </c>
      <c r="E53" s="20">
        <v>5.399</v>
      </c>
    </row>
    <row r="56" spans="1:5" x14ac:dyDescent="0.3">
      <c r="A56" s="29" t="s">
        <v>206</v>
      </c>
    </row>
    <row r="57" spans="1:5" x14ac:dyDescent="0.3">
      <c r="A57" s="19" t="s">
        <v>8</v>
      </c>
      <c r="B57" t="s">
        <v>194</v>
      </c>
      <c r="C57" t="s">
        <v>195</v>
      </c>
      <c r="D57" t="s">
        <v>202</v>
      </c>
      <c r="E57" t="s">
        <v>173</v>
      </c>
    </row>
    <row r="58" spans="1:5" x14ac:dyDescent="0.3">
      <c r="A58" t="s">
        <v>58</v>
      </c>
      <c r="B58" s="20">
        <v>165</v>
      </c>
      <c r="C58" s="20">
        <v>394</v>
      </c>
      <c r="D58" s="20">
        <v>559</v>
      </c>
      <c r="E58" s="20">
        <v>8</v>
      </c>
    </row>
    <row r="59" spans="1:5" x14ac:dyDescent="0.3">
      <c r="A59" t="s">
        <v>26</v>
      </c>
      <c r="B59" s="20">
        <v>94</v>
      </c>
      <c r="C59" s="20">
        <v>256</v>
      </c>
      <c r="D59" s="20">
        <v>350</v>
      </c>
      <c r="E59" s="20">
        <v>7</v>
      </c>
    </row>
    <row r="60" spans="1:5" x14ac:dyDescent="0.3">
      <c r="A60" t="s">
        <v>74</v>
      </c>
      <c r="B60" s="20">
        <v>393</v>
      </c>
      <c r="C60" s="20">
        <v>159</v>
      </c>
      <c r="D60" s="20">
        <v>552</v>
      </c>
      <c r="E60" s="20">
        <v>10</v>
      </c>
    </row>
    <row r="61" spans="1:5" x14ac:dyDescent="0.3">
      <c r="A61" t="s">
        <v>49</v>
      </c>
      <c r="B61" s="20">
        <v>595</v>
      </c>
      <c r="C61" s="20">
        <v>0</v>
      </c>
      <c r="D61" s="20">
        <v>595</v>
      </c>
      <c r="E61" s="20">
        <v>9</v>
      </c>
    </row>
    <row r="62" spans="1:5" x14ac:dyDescent="0.3">
      <c r="A62" t="s">
        <v>63</v>
      </c>
      <c r="B62" s="20">
        <v>55</v>
      </c>
      <c r="C62" s="20">
        <v>150</v>
      </c>
      <c r="D62" s="20">
        <v>205</v>
      </c>
      <c r="E62" s="20">
        <v>8</v>
      </c>
    </row>
    <row r="63" spans="1:5" x14ac:dyDescent="0.3">
      <c r="A63" t="s">
        <v>38</v>
      </c>
      <c r="B63" s="20">
        <v>177</v>
      </c>
      <c r="C63" s="20">
        <v>399</v>
      </c>
      <c r="D63" s="20">
        <v>576</v>
      </c>
      <c r="E63" s="20">
        <v>11</v>
      </c>
    </row>
    <row r="64" spans="1:5" x14ac:dyDescent="0.3">
      <c r="A64" t="s">
        <v>19</v>
      </c>
      <c r="B64" s="20">
        <v>711</v>
      </c>
      <c r="C64" s="20">
        <v>283</v>
      </c>
      <c r="D64" s="20">
        <v>994</v>
      </c>
      <c r="E64" s="20">
        <v>19</v>
      </c>
    </row>
    <row r="65" spans="1:5" x14ac:dyDescent="0.3">
      <c r="A65" t="s">
        <v>67</v>
      </c>
      <c r="B65" s="20">
        <v>796</v>
      </c>
      <c r="C65" s="20">
        <v>1077</v>
      </c>
      <c r="D65" s="20">
        <v>1873</v>
      </c>
      <c r="E65" s="20">
        <v>28</v>
      </c>
    </row>
    <row r="66" spans="1:5" x14ac:dyDescent="0.3">
      <c r="A66" t="s">
        <v>172</v>
      </c>
      <c r="B66" s="20">
        <v>2986</v>
      </c>
      <c r="C66" s="20">
        <v>2718</v>
      </c>
      <c r="D66" s="20">
        <v>5704</v>
      </c>
      <c r="E66" s="20">
        <v>100</v>
      </c>
    </row>
    <row r="73" spans="1:5" x14ac:dyDescent="0.3">
      <c r="A73" s="19" t="s">
        <v>12</v>
      </c>
      <c r="B73" t="s">
        <v>173</v>
      </c>
      <c r="C73" t="s">
        <v>202</v>
      </c>
      <c r="D73" t="s">
        <v>199</v>
      </c>
    </row>
    <row r="74" spans="1:5" x14ac:dyDescent="0.3">
      <c r="A74" t="s">
        <v>20</v>
      </c>
      <c r="B74" s="20">
        <v>80</v>
      </c>
      <c r="C74" s="20">
        <v>4565</v>
      </c>
      <c r="D74" s="28">
        <v>4.1374999999999993</v>
      </c>
    </row>
    <row r="75" spans="1:5" x14ac:dyDescent="0.3">
      <c r="A75" t="s">
        <v>39</v>
      </c>
      <c r="B75" s="20">
        <v>10</v>
      </c>
      <c r="C75" s="20">
        <v>535</v>
      </c>
      <c r="D75" s="28">
        <v>11.290000000000001</v>
      </c>
    </row>
    <row r="76" spans="1:5" x14ac:dyDescent="0.3">
      <c r="A76" t="s">
        <v>43</v>
      </c>
      <c r="B76" s="20">
        <v>10</v>
      </c>
      <c r="C76" s="20">
        <v>604</v>
      </c>
      <c r="D76" s="28">
        <v>9.6000000000000014</v>
      </c>
    </row>
    <row r="77" spans="1:5" x14ac:dyDescent="0.3">
      <c r="A77" t="s">
        <v>172</v>
      </c>
      <c r="B77" s="20">
        <v>100</v>
      </c>
      <c r="C77" s="20">
        <v>5704</v>
      </c>
      <c r="D77" s="20">
        <v>5.399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1D60-A4B7-4D36-9905-FA8A73726E49}">
  <dimension ref="A2:AL16"/>
  <sheetViews>
    <sheetView showGridLines="0" zoomScale="90" zoomScaleNormal="90" workbookViewId="0">
      <selection activeCell="O12" sqref="O12"/>
    </sheetView>
  </sheetViews>
  <sheetFormatPr defaultRowHeight="14.4" x14ac:dyDescent="0.3"/>
  <cols>
    <col min="24" max="24" width="11.44140625" customWidth="1"/>
    <col min="25" max="25" width="14.6640625" bestFit="1" customWidth="1"/>
    <col min="27" max="27" width="10.5546875" bestFit="1" customWidth="1"/>
    <col min="29" max="29" width="9.88671875" bestFit="1" customWidth="1"/>
    <col min="34" max="34" width="10.44140625" bestFit="1" customWidth="1"/>
    <col min="35" max="35" width="11.109375" bestFit="1" customWidth="1"/>
    <col min="37" max="37" width="18.21875" bestFit="1" customWidth="1"/>
    <col min="38" max="38" width="12.6640625" bestFit="1" customWidth="1"/>
  </cols>
  <sheetData>
    <row r="2" spans="1:38" ht="21" x14ac:dyDescent="0.4">
      <c r="A2" s="39" t="s">
        <v>209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38" x14ac:dyDescent="0.3">
      <c r="A3" s="41" t="s">
        <v>210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38" x14ac:dyDescent="0.3">
      <c r="S4" s="21" t="s">
        <v>226</v>
      </c>
      <c r="T4" s="21" t="s">
        <v>17</v>
      </c>
      <c r="U4" s="21" t="s">
        <v>31</v>
      </c>
      <c r="W4" s="21" t="s">
        <v>233</v>
      </c>
      <c r="Y4" s="21" t="s">
        <v>234</v>
      </c>
      <c r="AA4" s="21" t="s">
        <v>4</v>
      </c>
      <c r="AB4" s="21" t="s">
        <v>17</v>
      </c>
      <c r="AC4" s="21" t="s">
        <v>31</v>
      </c>
      <c r="AE4" s="21" t="s">
        <v>235</v>
      </c>
      <c r="AF4" s="21" t="s">
        <v>236</v>
      </c>
      <c r="AH4" s="21" t="s">
        <v>12</v>
      </c>
      <c r="AI4" s="21" t="s">
        <v>237</v>
      </c>
      <c r="AK4" s="21" t="s">
        <v>7</v>
      </c>
      <c r="AL4" s="21" t="s">
        <v>238</v>
      </c>
    </row>
    <row r="5" spans="1:38" x14ac:dyDescent="0.3">
      <c r="A5" s="43" t="s">
        <v>218</v>
      </c>
      <c r="B5" s="44"/>
      <c r="C5" s="44"/>
      <c r="E5" s="45" t="s">
        <v>219</v>
      </c>
      <c r="F5" s="46"/>
      <c r="G5" s="46"/>
      <c r="I5" s="32" t="s">
        <v>211</v>
      </c>
      <c r="J5" s="33"/>
      <c r="K5" s="33"/>
    </row>
    <row r="6" spans="1:38" ht="14.4" customHeight="1" x14ac:dyDescent="0.3">
      <c r="A6" s="34">
        <f>SUMIF(Analysis_Data!F2:F101,"Inbound",Analysis_Data!G2:G101)</f>
        <v>2986</v>
      </c>
      <c r="B6" s="34"/>
      <c r="C6" s="34"/>
      <c r="E6" s="35">
        <f>SUMIF(Analysis_Data!F2:F101,"Outbound",Analysis_Data!G2:G101)</f>
        <v>2718</v>
      </c>
      <c r="F6" s="35"/>
      <c r="G6" s="35"/>
      <c r="I6" s="42">
        <f>A6-E6</f>
        <v>268</v>
      </c>
      <c r="J6" s="42"/>
      <c r="K6" s="42"/>
      <c r="S6" s="31" t="s">
        <v>227</v>
      </c>
      <c r="T6" cm="1">
        <f t="array" ref="T6:T11">Pivot_Analysis!D4:D9</f>
        <v>664</v>
      </c>
      <c r="U6" cm="1">
        <f t="array" ref="U6:U11">Pivot_Analysis!E4:E9</f>
        <v>124</v>
      </c>
      <c r="W6" t="str" cm="1">
        <f t="array" ref="W6:W13">Pivot_Analysis!A15:A22</f>
        <v>Lakban Bening 48 mm</v>
      </c>
      <c r="Y6" cm="1">
        <f t="array" ref="Y6:Y13">Pivot_Analysis!E15:E22</f>
        <v>625</v>
      </c>
      <c r="AA6" t="str" cm="1">
        <f t="array" ref="AA6:AA10">Pivot_Analysis!A38:A42</f>
        <v>Alat Tulis</v>
      </c>
      <c r="AB6" cm="1">
        <f t="array" ref="AB6:AB10">Pivot_Analysis!B38:B42</f>
        <v>1010</v>
      </c>
      <c r="AC6" cm="1">
        <f t="array" ref="AC6:AC10">Pivot_Analysis!C38:C42</f>
        <v>789</v>
      </c>
      <c r="AE6" t="str" cm="1">
        <f t="array" ref="AE6:AE13">Pivot_Analysis!A58:A65</f>
        <v>Rack A1</v>
      </c>
      <c r="AF6" cm="1">
        <f t="array" ref="AF6:AF13">Pivot_Analysis!D58:D65</f>
        <v>559</v>
      </c>
      <c r="AH6" t="str" cm="1">
        <f t="array" ref="AH6:AH8">Pivot_Analysis!A74:A76</f>
        <v>Completed</v>
      </c>
      <c r="AI6" cm="1">
        <f t="array" ref="AI6:AI8">Pivot_Analysis!B74:B76</f>
        <v>80</v>
      </c>
      <c r="AK6" t="str" cm="1">
        <f t="array" ref="AK6:AK10">Pivot_Analysis!A48:A52</f>
        <v>CV Pangan Makmur</v>
      </c>
      <c r="AL6" cm="1">
        <f t="array" ref="AL6:AL10">Pivot_Analysis!D48:D52</f>
        <v>7</v>
      </c>
    </row>
    <row r="7" spans="1:38" ht="14.4" customHeight="1" x14ac:dyDescent="0.3">
      <c r="A7" s="34"/>
      <c r="B7" s="34"/>
      <c r="C7" s="34"/>
      <c r="E7" s="35"/>
      <c r="F7" s="35"/>
      <c r="G7" s="35"/>
      <c r="I7" s="42"/>
      <c r="J7" s="42"/>
      <c r="K7" s="42"/>
      <c r="S7" s="31" t="s">
        <v>228</v>
      </c>
      <c r="T7">
        <v>591</v>
      </c>
      <c r="U7">
        <v>559</v>
      </c>
      <c r="W7" t="str">
        <v>Mi Instan Goreng</v>
      </c>
      <c r="Y7">
        <v>459</v>
      </c>
      <c r="AA7" t="str">
        <v>Elektronik</v>
      </c>
      <c r="AB7">
        <v>497</v>
      </c>
      <c r="AC7">
        <v>571</v>
      </c>
      <c r="AE7" t="str">
        <v>Rack A2</v>
      </c>
      <c r="AF7">
        <v>350</v>
      </c>
      <c r="AH7" t="str">
        <v>Delayed</v>
      </c>
      <c r="AI7">
        <v>10</v>
      </c>
      <c r="AK7" t="str">
        <v>CV Prima Office</v>
      </c>
      <c r="AL7">
        <v>1</v>
      </c>
    </row>
    <row r="8" spans="1:38" ht="14.4" customHeight="1" x14ac:dyDescent="0.3">
      <c r="A8" s="34"/>
      <c r="B8" s="34"/>
      <c r="C8" s="34"/>
      <c r="E8" s="35"/>
      <c r="F8" s="35"/>
      <c r="G8" s="35"/>
      <c r="I8" s="42"/>
      <c r="J8" s="42"/>
      <c r="K8" s="42"/>
      <c r="S8" s="31" t="s">
        <v>229</v>
      </c>
      <c r="T8">
        <v>434</v>
      </c>
      <c r="U8">
        <v>489</v>
      </c>
      <c r="W8" t="str">
        <v>Lampu LED 12 Watt</v>
      </c>
      <c r="Y8">
        <v>422</v>
      </c>
      <c r="AA8" t="str">
        <v>Kebersihan</v>
      </c>
      <c r="AB8">
        <v>232</v>
      </c>
      <c r="AC8">
        <v>549</v>
      </c>
      <c r="AE8" t="str">
        <v>Rack B1</v>
      </c>
      <c r="AF8">
        <v>552</v>
      </c>
      <c r="AH8" t="str">
        <v>Pending</v>
      </c>
      <c r="AI8">
        <v>10</v>
      </c>
      <c r="AK8" t="str">
        <v>PT Bersih Sentosa</v>
      </c>
      <c r="AL8">
        <v>12</v>
      </c>
    </row>
    <row r="9" spans="1:38" x14ac:dyDescent="0.3">
      <c r="A9" s="43" t="s">
        <v>212</v>
      </c>
      <c r="B9" s="44"/>
      <c r="C9" s="44"/>
      <c r="E9" s="45" t="s">
        <v>213</v>
      </c>
      <c r="F9" s="46"/>
      <c r="G9" s="46"/>
      <c r="I9" s="32" t="s">
        <v>214</v>
      </c>
      <c r="J9" s="33"/>
      <c r="K9" s="33"/>
      <c r="S9" s="31" t="s">
        <v>230</v>
      </c>
      <c r="T9">
        <v>488</v>
      </c>
      <c r="U9">
        <v>468</v>
      </c>
      <c r="W9" t="str">
        <v>Buku Tulis A5</v>
      </c>
      <c r="Y9">
        <v>420</v>
      </c>
      <c r="AA9" t="str">
        <v>Makanan</v>
      </c>
      <c r="AB9">
        <v>988</v>
      </c>
      <c r="AC9">
        <v>159</v>
      </c>
      <c r="AE9" t="str">
        <v>Rack B2</v>
      </c>
      <c r="AF9">
        <v>595</v>
      </c>
      <c r="AK9" t="str">
        <v>PT Cahaya Elektrik</v>
      </c>
      <c r="AL9">
        <v>13</v>
      </c>
    </row>
    <row r="10" spans="1:38" x14ac:dyDescent="0.3">
      <c r="A10" s="34">
        <f>SUMIF(Analysis_Data!F2:F101,"Inbound",Analysis_Data!O2:O101)</f>
        <v>60591600</v>
      </c>
      <c r="B10" s="34"/>
      <c r="C10" s="34"/>
      <c r="E10" s="35">
        <f>SUMIF(Analysis_Data!F2:F101,"Outbound",Analysis_Data!O2:O101)</f>
        <v>52379500</v>
      </c>
      <c r="F10" s="35"/>
      <c r="G10" s="35"/>
      <c r="I10" s="36">
        <f>IFERROR(SUM(Analysis_Data!K2:K101)/SUM(Analysis_Data!G2:G101),0)</f>
        <v>5.9607293127629732E-3</v>
      </c>
      <c r="J10" s="36"/>
      <c r="K10" s="36"/>
      <c r="S10" s="31" t="s">
        <v>231</v>
      </c>
      <c r="T10">
        <v>255</v>
      </c>
      <c r="U10">
        <v>567</v>
      </c>
      <c r="W10" t="str">
        <v>Baterai AA Isi 4</v>
      </c>
      <c r="Y10">
        <v>406</v>
      </c>
      <c r="AA10" t="str">
        <v>Minuman</v>
      </c>
      <c r="AB10">
        <v>259</v>
      </c>
      <c r="AC10">
        <v>650</v>
      </c>
      <c r="AE10" t="str">
        <v>Rack C1</v>
      </c>
      <c r="AF10">
        <v>205</v>
      </c>
      <c r="AK10" t="str">
        <v>PT Sumber Segar</v>
      </c>
      <c r="AL10">
        <v>1</v>
      </c>
    </row>
    <row r="11" spans="1:38" x14ac:dyDescent="0.3">
      <c r="A11" s="34"/>
      <c r="B11" s="34"/>
      <c r="C11" s="34"/>
      <c r="E11" s="35"/>
      <c r="F11" s="35"/>
      <c r="G11" s="35"/>
      <c r="I11" s="36"/>
      <c r="J11" s="36"/>
      <c r="K11" s="36"/>
      <c r="S11" s="31" t="s">
        <v>232</v>
      </c>
      <c r="T11">
        <v>554</v>
      </c>
      <c r="U11">
        <v>511</v>
      </c>
      <c r="W11" t="str">
        <v>Kertas A4 80 gsm</v>
      </c>
      <c r="Y11">
        <v>381</v>
      </c>
      <c r="AE11" t="str">
        <v>Rack C2</v>
      </c>
      <c r="AF11">
        <v>576</v>
      </c>
    </row>
    <row r="12" spans="1:38" x14ac:dyDescent="0.3">
      <c r="A12" s="34"/>
      <c r="B12" s="34"/>
      <c r="C12" s="34"/>
      <c r="E12" s="35"/>
      <c r="F12" s="35"/>
      <c r="G12" s="35"/>
      <c r="I12" s="36"/>
      <c r="J12" s="36"/>
      <c r="K12" s="36"/>
      <c r="W12" t="str">
        <v>Pulpen Gel Hitam</v>
      </c>
      <c r="Y12">
        <v>373</v>
      </c>
      <c r="AE12" t="str">
        <v>Rack D1</v>
      </c>
      <c r="AF12">
        <v>994</v>
      </c>
    </row>
    <row r="13" spans="1:38" x14ac:dyDescent="0.3">
      <c r="A13" s="43" t="s">
        <v>215</v>
      </c>
      <c r="B13" s="44"/>
      <c r="C13" s="44"/>
      <c r="E13" s="45" t="s">
        <v>216</v>
      </c>
      <c r="F13" s="46"/>
      <c r="G13" s="46"/>
      <c r="I13" s="32" t="s">
        <v>217</v>
      </c>
      <c r="J13" s="33"/>
      <c r="K13" s="33"/>
      <c r="W13" t="str">
        <v>Teh Celup 25 Sachet</v>
      </c>
      <c r="Y13">
        <v>350</v>
      </c>
      <c r="AE13" t="str">
        <v>Rack D2</v>
      </c>
      <c r="AF13">
        <v>1873</v>
      </c>
    </row>
    <row r="14" spans="1:38" x14ac:dyDescent="0.3">
      <c r="A14" s="37">
        <f>COUNTIF(Analysis_Data!M2:M101,"Delayed")</f>
        <v>10</v>
      </c>
      <c r="B14" s="37"/>
      <c r="C14" s="37"/>
      <c r="E14" s="38">
        <f>COUNTIF(Analysis_Data!M2:M101,"Pending")</f>
        <v>10</v>
      </c>
      <c r="F14" s="38"/>
      <c r="G14" s="38"/>
      <c r="I14" s="36">
        <f>COUNTIF(Analysis_Data!M2:M101,"Completed")/COUNTA(Analysis_Data!A2:A101)</f>
        <v>0.8</v>
      </c>
      <c r="J14" s="36"/>
      <c r="K14" s="36"/>
    </row>
    <row r="15" spans="1:38" x14ac:dyDescent="0.3">
      <c r="A15" s="37"/>
      <c r="B15" s="37"/>
      <c r="C15" s="37"/>
      <c r="E15" s="38"/>
      <c r="F15" s="38"/>
      <c r="G15" s="38"/>
      <c r="I15" s="36"/>
      <c r="J15" s="36"/>
      <c r="K15" s="36"/>
    </row>
    <row r="16" spans="1:38" x14ac:dyDescent="0.3">
      <c r="A16" s="37"/>
      <c r="B16" s="37"/>
      <c r="C16" s="37"/>
      <c r="E16" s="38"/>
      <c r="F16" s="38"/>
      <c r="G16" s="38"/>
      <c r="I16" s="36"/>
      <c r="J16" s="36"/>
      <c r="K16" s="36"/>
    </row>
  </sheetData>
  <mergeCells count="20">
    <mergeCell ref="A9:C9"/>
    <mergeCell ref="E9:G9"/>
    <mergeCell ref="I9:K9"/>
    <mergeCell ref="A13:C13"/>
    <mergeCell ref="E13:G13"/>
    <mergeCell ref="A2:Q2"/>
    <mergeCell ref="A3:Q3"/>
    <mergeCell ref="A6:C8"/>
    <mergeCell ref="E6:G8"/>
    <mergeCell ref="I6:K8"/>
    <mergeCell ref="A5:C5"/>
    <mergeCell ref="E5:G5"/>
    <mergeCell ref="I5:K5"/>
    <mergeCell ref="I13:K13"/>
    <mergeCell ref="A10:C12"/>
    <mergeCell ref="E10:G12"/>
    <mergeCell ref="I10:K12"/>
    <mergeCell ref="A14:C16"/>
    <mergeCell ref="E14:G16"/>
    <mergeCell ref="I14:K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Warehouse_Transactions</vt:lpstr>
      <vt:lpstr>Analysis_Data</vt:lpstr>
      <vt:lpstr>Pivot_Analysis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 AMD</dc:creator>
  <cp:lastModifiedBy>Iksan Bahri</cp:lastModifiedBy>
  <dcterms:created xsi:type="dcterms:W3CDTF">2026-09-23T09:05:35Z</dcterms:created>
  <dcterms:modified xsi:type="dcterms:W3CDTF">2026-09-25T01:32:44Z</dcterms:modified>
</cp:coreProperties>
</file>